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新增功能开发投产比" sheetId="1" r:id="rId3"/>
    <sheet name="新产品功能模块架构" sheetId="2" r:id="rId4"/>
    <sheet name="用户场景功能清单" sheetId="3" r:id="rId5"/>
    <sheet name="核心新增能力清单" sheetId="4" r:id="rId6"/>
  </sheets>
  <calcPr/>
</workbook>
</file>

<file path=xl/sharedStrings.xml><?xml version="1.0" encoding="utf-8"?>
<sst xmlns="http://schemas.openxmlformats.org/spreadsheetml/2006/main" count="243" uniqueCount="243">
  <si>
    <t/>
  </si>
  <si>
    <t>新增功能</t>
  </si>
  <si>
    <t>所属模块</t>
  </si>
  <si>
    <t>用户场景</t>
  </si>
  <si>
    <t>解决痛点</t>
  </si>
  <si>
    <t>业务价值评分</t>
  </si>
  <si>
    <t>效率提升评分</t>
  </si>
  <si>
    <t>用户场景覆盖</t>
  </si>
  <si>
    <t>开发/实施难度</t>
  </si>
  <si>
    <t>综合评分</t>
  </si>
  <si>
    <t>优先级</t>
  </si>
  <si>
    <t>告警策略模板</t>
  </si>
  <si>
    <t>生产人员</t>
  </si>
  <si>
    <t>避免告警策略配置</t>
  </si>
  <si>
    <t>P0</t>
  </si>
  <si>
    <t>预制组态库</t>
  </si>
  <si>
    <t>工程组态管理</t>
  </si>
  <si>
    <t>避免重复制作组态</t>
  </si>
  <si>
    <t>P1</t>
  </si>
  <si>
    <t>统一点表+驱动预集成</t>
  </si>
  <si>
    <t>设备接入管理</t>
  </si>
  <si>
    <t>避免驱动导入和开发</t>
  </si>
  <si>
    <t>动环监控平台</t>
  </si>
  <si>
    <t>监控展示服务</t>
  </si>
  <si>
    <t>客户运维人员</t>
  </si>
  <si>
    <t>统一监控界面入口</t>
  </si>
  <si>
    <t>U盘自动安装</t>
  </si>
  <si>
    <t>平台基础服务</t>
  </si>
  <si>
    <t>避免手动安装Linux操作</t>
  </si>
  <si>
    <t>U盘离线升级</t>
  </si>
  <si>
    <t>售后维护人员</t>
  </si>
  <si>
    <t>偏远地区客户自助升级</t>
  </si>
  <si>
    <t>预制策略库</t>
  </si>
  <si>
    <t>自动化控制</t>
  </si>
  <si>
    <t>避免重复配置策略</t>
  </si>
  <si>
    <t>自动问题日志记录</t>
  </si>
  <si>
    <t>研发人员</t>
  </si>
  <si>
    <t>解决问题无法复现</t>
  </si>
  <si>
    <t>一键自检验收</t>
  </si>
  <si>
    <t>安装调试人员</t>
  </si>
  <si>
    <t>自动化测试和验收</t>
  </si>
  <si>
    <t>远程运维</t>
  </si>
  <si>
    <t>产品需要工程师到现场解决问题</t>
  </si>
  <si>
    <t>AI测点绑定</t>
  </si>
  <si>
    <t>避免手动绑定500-1000个测点</t>
  </si>
  <si>
    <t>P2</t>
  </si>
  <si>
    <t>AI自检诊断程序</t>
  </si>
  <si>
    <t>快速定位故障，减少研发参与</t>
  </si>
  <si>
    <t>OTA远程升级</t>
  </si>
  <si>
    <t>远程一键升级，20-30分钟</t>
  </si>
  <si>
    <t>设备自动识别</t>
  </si>
  <si>
    <t>生产人员/安装人员</t>
  </si>
  <si>
    <t>避免手动创建设备和填参数</t>
  </si>
  <si>
    <t>工程面板统一配置</t>
  </si>
  <si>
    <t>生产/安装人员</t>
  </si>
  <si>
    <t>统一配置入口，避免功能分散</t>
  </si>
  <si>
    <t>自动备份回滚</t>
  </si>
  <si>
    <t>升级失败自动恢复，零数据丢失</t>
  </si>
  <si>
    <t>评价维度（权重比例）</t>
  </si>
  <si>
    <t>业务价值（30%）- 最重要</t>
  </si>
  <si>
    <t>效率提升（25%）</t>
  </si>
  <si>
    <t>用户场景覆盖（25%）</t>
  </si>
  <si>
    <t>实施难度（20%）- 反向影响</t>
  </si>
  <si>
    <t>评分等级划分</t>
  </si>
  <si>
    <t>P0（≥4.5分）：必须本版本交付 - 1个需求</t>
  </si>
  <si>
    <t>P1（3.5-4.5分）：应该本版本交付 - 9个需求</t>
  </si>
  <si>
    <t>P2（2.5-3.5分）：下版本交付 - 6个需求</t>
  </si>
  <si>
    <t>P3（&lt;2.5分）：后续考虑 - 0个需求</t>
  </si>
  <si>
    <t>生产安装模板化</t>
  </si>
  <si>
    <t>调试自诊断</t>
  </si>
  <si>
    <t>远程升级</t>
  </si>
  <si>
    <t>投入</t>
  </si>
  <si>
    <t>估300人天工作量=90万</t>
  </si>
  <si>
    <t>开发估60人天工作量=18万
阻力：需要跟客户谈判接入网络</t>
  </si>
  <si>
    <t>开发估120人天工作量 = 36万</t>
  </si>
  <si>
    <t>产出</t>
  </si>
  <si>
    <t>显性收益：19万/年
隐性收益：巨大</t>
  </si>
  <si>
    <t>显性收益：34万/年
隐性收益：提升易用性与稳定性</t>
  </si>
  <si>
    <t>100万/年</t>
  </si>
  <si>
    <t>70万/年</t>
  </si>
  <si>
    <t>计算方法</t>
  </si>
  <si>
    <t>生产：（工程生产4h）/每套机柜【数据来源：章嘉林】
工程生产 每套微模块=8h
一年生产成本=生产人员章嘉林工资*生产时间百分比=10万
研发参与解决问题：估计花费30人天=9万</t>
  </si>
  <si>
    <t>一体柜调试时间：（生产调试2-6h+现场调试1-3天）/每套机柜=2.5人天
微模块调试时间：（生产调试2-6h+现场调试3-5天）/每套微模块=4.5人天
【数据来源：章嘉林、王炬伟】
假设一年出货200套机柜+20套微模块
调试成本=590人天*300=18万
研发参与解决问题：估计花费100人天=30万</t>
  </si>
  <si>
    <t>假设2天差旅700，飞机来回1500计算。售后人员250/天工资。售后/巡检，售后问题单一年400-500个【数据来源：赵波】。巡检必须到现场，不算入远程运维产出。
一年问题解决人工费：3000/问题 *500问题/年=150万</t>
  </si>
  <si>
    <t>发布版本、补丁，需要现场工程师去现场安装升级补丁。当天解决问题，假设一次差旅1500+售后人员工资250。假设一年需要升级网点约为500个，包括同一网点多次升级。
（大批量快速升级可以做到一天多个站点，特殊问题或偏远地区站点可能需要2-3天，取平均值1天升级1个【数据来源：赵波、邓宗涛】）
一年升级人工费：1750/问题*500升级/年=87.5万</t>
  </si>
  <si>
    <t>模板化优化将生产时间缩短为5min。节约10万
节约研发30人天=9万</t>
  </si>
  <si>
    <t>调试自诊断功能将调试时间缩短为2h。
节约调试535人天=16万
节约研发60人天=18万</t>
  </si>
  <si>
    <t>远程运维假设能解决2/3问题，让售后工程师无需到现场。从150万降到50万，节约100万。</t>
  </si>
  <si>
    <t>U盘升级每个问题仅需U盘成本+运费=30
总成本=15000
节约 86万，假设能解决80%场景
能节约70万每年</t>
  </si>
  <si>
    <t>生产模板化，简化了整体产品架构，缩短产品链路。降低生产导致的问题和各式故障。长期收益。</t>
  </si>
  <si>
    <t>从内在提升产品稳定性，保证无问题交付。</t>
  </si>
  <si>
    <t>确保产品出货质量，解决目前人工易错问题</t>
  </si>
  <si>
    <t>用户角色</t>
  </si>
  <si>
    <t>旧流程工作场景</t>
  </si>
  <si>
    <t>新产品功能</t>
  </si>
  <si>
    <t>功能描述</t>
  </si>
  <si>
    <t>旧功能来源</t>
  </si>
  <si>
    <t>变化说明</t>
  </si>
  <si>
    <t>GU软件安装（需要手动Linux操作、安装U盘、镜像还原、脚本执行）</t>
  </si>
  <si>
    <t>U盘自动安装系统</t>
  </si>
  <si>
    <t>系统维护-安装</t>
  </si>
  <si>
    <t>新增自动安装能力</t>
  </si>
  <si>
    <t>组态制作（每个项目手动绘制页面、测点、策略）</t>
  </si>
  <si>
    <t>生产人员在组态库中选择组态模板</t>
  </si>
  <si>
    <t>工程组态-模板管理</t>
  </si>
  <si>
    <t>增加标准组态库</t>
  </si>
  <si>
    <t>联动策略配置（每个项目手动配置策略）</t>
  </si>
  <si>
    <t>生产人员按照项目需求选择需要的策略</t>
  </si>
  <si>
    <t>联动控制-策略</t>
  </si>
  <si>
    <t>增加标准策略库</t>
  </si>
  <si>
    <t>驱动整理与导入（找驱动、导入系统、甲供设备需驱动开发）</t>
  </si>
  <si>
    <t>预制驱动库</t>
  </si>
  <si>
    <t>采集接入-驱动</t>
  </si>
  <si>
    <t>统一标准化点表</t>
  </si>
  <si>
    <t>测点绑定（手动查表、绑定500-1000个测点）</t>
  </si>
  <si>
    <t>AI自动测点绑定</t>
  </si>
  <si>
    <t>工程组态-测点绑定</t>
  </si>
  <si>
    <t>新增AI自动化</t>
  </si>
  <si>
    <t>设备接入与信息配置（导入相应驱动、手动创建设备、输入复杂参数）</t>
  </si>
  <si>
    <t>设备自动接入</t>
  </si>
  <si>
    <t>设备接入自动识别驱动与参数预配置</t>
  </si>
  <si>
    <t>采集接入-设备接入</t>
  </si>
  <si>
    <t>新增自动识别</t>
  </si>
  <si>
    <t>完成各项配置、多界面切换（分散配置在多个菜单，容易遗漏）</t>
  </si>
  <si>
    <t>工程面板</t>
  </si>
  <si>
    <t>工程组态-配置</t>
  </si>
  <si>
    <t>新增统一入口</t>
  </si>
  <si>
    <t>生产调试验收（手动执行20余项、70多条调试步骤）</t>
  </si>
  <si>
    <t>AI一键自检</t>
  </si>
  <si>
    <t>一键自检自动验收</t>
  </si>
  <si>
    <t>系统配置-自检</t>
  </si>
  <si>
    <t>新增自动验收</t>
  </si>
  <si>
    <t>现场参数配置（IP、存储、告警、Logo、北向等分散在多个菜单）</t>
  </si>
  <si>
    <t>工程面板快速现场配置</t>
  </si>
  <si>
    <t>工程组态-空间管理</t>
  </si>
  <si>
    <t>保留</t>
  </si>
  <si>
    <t>现场交付验收（人工逐项检查功能、填写记录表、容易遗漏）</t>
  </si>
  <si>
    <t>一键自检生成验收报告，向客户展示验收结果</t>
  </si>
  <si>
    <t>采集接入</t>
  </si>
  <si>
    <t>设备通讯异常排查（进后台查进程、检查线路、发包测试、困难且耗时）</t>
  </si>
  <si>
    <t>AI系统分析</t>
  </si>
  <si>
    <t>AI问题自检分析与建议</t>
  </si>
  <si>
    <t>工程组态</t>
  </si>
  <si>
    <t>保留并增强 预制配置</t>
  </si>
  <si>
    <t>获取告警通知（只能等短信/邮件，无法实时多渠道推送）</t>
  </si>
  <si>
    <t>告警通知</t>
  </si>
  <si>
    <t>通过APP等方式实现实时多渠道告警通知推送</t>
  </si>
  <si>
    <t>联动控制</t>
  </si>
  <si>
    <t>处理告警（无能力分析原因，只能求助厂家）</t>
  </si>
  <si>
    <t>AI告警分析与排查建议</t>
  </si>
  <si>
    <t>告警-配置</t>
  </si>
  <si>
    <t>日常巡检与数据查询（监控界面繁琐）</t>
  </si>
  <si>
    <t>监控界面展示</t>
  </si>
  <si>
    <t>统一平台界面与实时监控</t>
  </si>
  <si>
    <t>无</t>
  </si>
  <si>
    <t>移动端运维（缺乏完整移动支持，不便随时查看）</t>
  </si>
  <si>
    <t>APP</t>
  </si>
  <si>
    <t>ECO节能控制</t>
  </si>
  <si>
    <t>ECO模块</t>
  </si>
  <si>
    <t>平板监控</t>
  </si>
  <si>
    <t>门禁权限管理</t>
  </si>
  <si>
    <t>门禁模块</t>
  </si>
  <si>
    <t>告警</t>
  </si>
  <si>
    <t>资产信息管理</t>
  </si>
  <si>
    <t>资产模块</t>
  </si>
  <si>
    <t>新增标准化</t>
  </si>
  <si>
    <t>现场问题诊断（问题消失无法复现、需多次现场）</t>
  </si>
  <si>
    <t>问题自记录</t>
  </si>
  <si>
    <t>系统自动记录问题日志</t>
  </si>
  <si>
    <t>报表</t>
  </si>
  <si>
    <t>问题原因定位（手工排查困难、需求助研发、效率低）</t>
  </si>
  <si>
    <t>AI自检诊断程序快速定位</t>
  </si>
  <si>
    <t>资产</t>
  </si>
  <si>
    <t>现场补丁升级（需要几小时、容易出错、容易磁盘满）</t>
  </si>
  <si>
    <t>现场一键升级工具</t>
  </si>
  <si>
    <t>ECO</t>
  </si>
  <si>
    <t>远程大批量升级（需要人工到现场下载、版本不统一）</t>
  </si>
  <si>
    <t>门禁</t>
  </si>
  <si>
    <t>偏远地区升级（差旅成本高、无法上门）</t>
  </si>
  <si>
    <t>U盘自助升级</t>
  </si>
  <si>
    <t>报表+存储</t>
  </si>
  <si>
    <t>整合</t>
  </si>
  <si>
    <t>升级失败恢复（升级失败难恢复、容易数据丢失）</t>
  </si>
  <si>
    <t>自动备份与升级回滚</t>
  </si>
  <si>
    <t>系统配置</t>
  </si>
  <si>
    <t>系统维护</t>
  </si>
  <si>
    <t>保留并增强</t>
  </si>
  <si>
    <t>新增智能诊断</t>
  </si>
  <si>
    <t>新增自动记录</t>
  </si>
  <si>
    <t>系统维护-升级</t>
  </si>
  <si>
    <t>新增OTA方式</t>
  </si>
  <si>
    <t>新增离线方式</t>
  </si>
  <si>
    <t>系统维护-备份</t>
  </si>
  <si>
    <t>新增自动回滚</t>
  </si>
  <si>
    <t>新功能模块</t>
  </si>
  <si>
    <t>功能定位</t>
  </si>
  <si>
    <t>核心用户</t>
  </si>
  <si>
    <t>主要场景</t>
  </si>
  <si>
    <t>旧模块来源</t>
  </si>
  <si>
    <t>系统基础运行保障与权限管理</t>
  </si>
  <si>
    <t>生产/安装/客户/售后人员</t>
  </si>
  <si>
    <t>用户管理、系统维护、日志管理</t>
  </si>
  <si>
    <t>系统配置、多语言</t>
  </si>
  <si>
    <t>设备连接与数据采集</t>
  </si>
  <si>
    <t>安装人员/生产人员</t>
  </si>
  <si>
    <t>设备接入、数据采集、协议管理</t>
  </si>
  <si>
    <t>采集接入、设备管理</t>
  </si>
  <si>
    <t>北向集成接口</t>
  </si>
  <si>
    <t>第三方系统对接</t>
  </si>
  <si>
    <t>安装人员</t>
  </si>
  <si>
    <t>北向连接、接口定制</t>
  </si>
  <si>
    <t>北向</t>
  </si>
  <si>
    <t>组态管理</t>
  </si>
  <si>
    <t>工程配置与组态开发</t>
  </si>
  <si>
    <t>组态制作、模板管理</t>
  </si>
  <si>
    <t>工程组态、联动策略</t>
  </si>
  <si>
    <t>实时监控与界面展示</t>
  </si>
  <si>
    <t>实时监控、界面展示</t>
  </si>
  <si>
    <t>监控</t>
  </si>
  <si>
    <t>告警通知管理</t>
  </si>
  <si>
    <t>告警生成、处理与通知</t>
  </si>
  <si>
    <t>告警响应、告警配置、告警通知</t>
  </si>
  <si>
    <t>能效管理</t>
  </si>
  <si>
    <t>能效监控与节能降费</t>
  </si>
  <si>
    <t>自动节能</t>
  </si>
  <si>
    <t>门禁视频安防</t>
  </si>
  <si>
    <t>门禁、视频、抓拍管理</t>
  </si>
  <si>
    <t>门禁控制、视频监控</t>
  </si>
  <si>
    <t>门禁、视频</t>
  </si>
  <si>
    <t>资产登记与查询</t>
  </si>
  <si>
    <t>客户管理人员</t>
  </si>
  <si>
    <t>资产总览、资产配置</t>
  </si>
  <si>
    <t>数据存储处理</t>
  </si>
  <si>
    <t>数据存储、处理与清理，历史数据</t>
  </si>
  <si>
    <t>历史数据、数据策略、报表查询</t>
  </si>
  <si>
    <t>存储、报表</t>
  </si>
  <si>
    <t>移动应用支持</t>
  </si>
  <si>
    <t>移动端监控与控制</t>
  </si>
  <si>
    <t>客户运维人员/客户管理人员</t>
  </si>
  <si>
    <t>移动监控、移动告警</t>
  </si>
  <si>
    <t>系统维护支持</t>
  </si>
  <si>
    <t>问题自检与快速升级</t>
  </si>
  <si>
    <t>问题自检、告警修复、补丁升级</t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</si>
</sst>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color rgb="FFFFFFFF"/>
      <sz val="11"/>
    </font>
    <font>
      <sz val="12"/>
    </font>
    <font>
      <b val="true"/>
      <sz val="12"/>
    </font>
    <font>
      <b val="true"/>
      <sz val="11"/>
    </font>
    <font>
      <sz val="11"/>
    </font>
    <font>
      <b val="false"/>
      <sz val="11"/>
    </font>
    <font/>
    <font>
      <b val="true"/>
      <sz val="10"/>
    </font>
    <font>
      <sz val="10"/>
    </font>
    <font>
      <b val="true"/>
    </font>
    <font/>
    <font>
      <name val="SimSun"/>
      <b val="true"/>
      <sz val="12"/>
    </font>
    <font>
      <name val="SimSun"/>
      <sz val="12"/>
    </font>
    <font>
      <name val="SimSun"/>
      <b val="true"/>
      <color rgb="FFFFFFFF"/>
      <sz val="11"/>
    </font>
    <font>
      <name val="SimSun"/>
      <sz val="11"/>
    </font>
    <font>
      <name val="SimSun"/>
      <sz val="11"/>
    </font>
    <font/>
  </fonts>
  <fills count="9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9C7"/>
      </patternFill>
    </fill>
    <fill/>
    <fill>
      <patternFill patternType="solid">
        <fgColor rgb="FF8CDDFA"/>
      </patternFill>
    </fill>
    <fill>
      <patternFill patternType="solid">
        <fgColor rgb="FF8CDDFA"/>
      </patternFill>
    </fill>
    <fill>
      <patternFill patternType="solid">
        <fgColor rgb="FFFFC000"/>
        <bgColor rgb="FFFFC000"/>
      </patternFill>
    </fill>
    <fill>
      <patternFill patternType="solid">
        <fgColor rgb="FF4472C4"/>
        <bgColor rgb="FF4472C4"/>
      </patternFill>
    </fill>
  </fills>
  <borders count="7">
    <border>
      <left/>
      <right/>
      <top/>
      <bottom/>
      <diagonal/>
    </border>
    <border diagonalUp="true" diagonalDown="true"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</border>
    <border>
      <left style="thin">
        <color rgb="FFDDDDDD"/>
      </left>
      <right style="thin">
        <color rgb="FFDDDDDD"/>
      </right>
    </border>
    <border>
      <left style="thin">
        <color rgb="FFDDDDDD"/>
      </left>
      <right style="thin">
        <color rgb="FFDDDDDD"/>
      </right>
      <bottom style="thin">
        <color rgb="FFDDDDDD"/>
      </bottom>
    </border>
    <border/>
  </borders>
  <cellStyleXfs>
    <xf numFmtId="0" fontId="0" fillId="0" borderId="0" xfId="0">
      <alignment vertical="center"/>
    </xf>
  </cellStyleXfs>
  <cellXfs count="4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horizontal="center" vertical="center"/>
    </xf>
    <xf fontId="4" fillId="0" borderId="0" xfId="0">
      <alignment vertical="center"/>
    </xf>
    <xf fontId="5" fillId="0" borderId="0" xfId="0">
      <alignment vertical="center"/>
    </xf>
    <xf fontId="6" fillId="3" borderId="0" xfId="0">
      <alignment vertical="bottom"/>
    </xf>
    <xf fontId="7" fillId="3" borderId="0" xfId="0">
      <alignment vertical="bottom"/>
    </xf>
    <xf fontId="7" fillId="3" borderId="0" xfId="0">
      <alignment horizontal="center" vertical="bottom"/>
    </xf>
    <xf fontId="4" fillId="3" borderId="0" xfId="0">
      <alignment horizontal="center" vertical="center"/>
    </xf>
    <xf fontId="4" fillId="3" borderId="0" xfId="0">
      <alignment vertical="center"/>
    </xf>
    <xf fontId="5" fillId="3" borderId="0" xfId="0">
      <alignment vertical="center"/>
    </xf>
    <xf fontId="8" fillId="0" borderId="0" xfId="0">
      <alignment vertical="bottom"/>
    </xf>
    <xf fontId="7" fillId="0" borderId="0" xfId="0">
      <alignment vertical="bottom"/>
    </xf>
    <xf fontId="7" fillId="0" borderId="0" xfId="0">
      <alignment horizontal="center" vertical="bottom"/>
    </xf>
    <xf fontId="4" fillId="0" borderId="0" xfId="0">
      <alignment horizontal="center" vertical="center"/>
    </xf>
    <xf fontId="9" fillId="0" borderId="0" xfId="0">
      <alignment horizontal="center" vertical="center"/>
    </xf>
    <xf fontId="10" fillId="0" borderId="0" xfId="0">
      <alignment vertical="center"/>
    </xf>
    <xf fontId="11" fillId="0" borderId="0" xfId="0">
      <alignment vertical="center"/>
    </xf>
    <xf fontId="12" fillId="0" borderId="0" xfId="0">
      <alignment vertical="center" wrapText="true"/>
    </xf>
    <xf fontId="6" fillId="0" borderId="0" xfId="0">
      <alignment vertical="center" wrapText="true"/>
    </xf>
    <xf fontId="0" fillId="0" borderId="0" xfId="0">
      <alignment vertical="center" wrapText="true"/>
    </xf>
    <xf fontId="13" fillId="4" borderId="1" xfId="0">
      <alignment vertical="center"/>
    </xf>
    <xf numFmtId="0" fontId="0" fillId="0" borderId="0" xfId="0">
      <alignment vertical="center" wrapText="true"/>
    </xf>
    <xf fontId="14" fillId="5" borderId="2" xfId="0">
      <alignment horizontal="center" vertical="center"/>
    </xf>
    <xf fontId="14" fillId="5" borderId="2" xfId="0">
      <alignment vertical="center"/>
    </xf>
    <xf fontId="14" fillId="6" borderId="2" xfId="0">
      <alignment vertical="center"/>
    </xf>
    <xf fontId="14" fillId="5" borderId="0" xfId="0">
      <alignment vertical="center"/>
    </xf>
    <xf fontId="14" fillId="0" borderId="0" xfId="0">
      <alignment vertical="center"/>
    </xf>
    <xf fontId="14" fillId="7" borderId="0" xfId="0">
      <alignment horizontal="center" vertical="center"/>
    </xf>
    <xf fontId="15" fillId="0" borderId="3" xfId="0">
      <alignment horizontal="center" vertical="center"/>
    </xf>
    <xf fontId="15" fillId="0" borderId="2" xfId="0">
      <alignment vertical="center"/>
    </xf>
    <xf fontId="14" fillId="3" borderId="2" xfId="0">
      <alignment vertical="center"/>
    </xf>
    <xf fontId="15" fillId="0" borderId="0" xfId="0">
      <alignment vertical="bottom"/>
    </xf>
    <xf fontId="0" fillId="0" borderId="4" xfId="0">
      <alignment vertical="center"/>
    </xf>
    <xf fontId="15" fillId="0" borderId="0" xfId="0">
      <alignment vertical="center"/>
    </xf>
    <xf fontId="14" fillId="3" borderId="0" xfId="0">
      <alignment vertical="center"/>
    </xf>
    <xf fontId="0" fillId="0" borderId="5" xfId="0">
      <alignment vertical="center"/>
    </xf>
    <xf fontId="15" fillId="0" borderId="6" xfId="0">
      <alignment horizontal="center" vertical="center"/>
    </xf>
    <xf fontId="15" fillId="0" borderId="6" xfId="0">
      <alignment vertical="center"/>
    </xf>
    <xf fontId="16" fillId="8" borderId="0" xfId="0">
      <alignment horizontal="center" vertical="center"/>
    </xf>
    <xf fontId="17" fillId="0" borderId="0" xfId="0">
      <alignment vertical="bottom"/>
    </xf>
    <xf fontId="17" fillId="0" borderId="0" xfId="0">
      <alignment vertical="center"/>
    </xf>
    <xf fontId="18" fillId="0" borderId="0" xfId="0">
      <alignment vertical="center"/>
    </xf>
    <xf fontId="12" fillId="0" borderId="0" xfId="0">
      <alignment vertical="center"/>
    </xf>
    <xf fontId="19" fillId="0" borderId="0" xfId="0">
      <alignment vertical="center"/>
    </xf>
    <xf fontId="9" fillId="3" borderId="0" xfId="0">
      <alignment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6" Type="http://schemas.openxmlformats.org/officeDocument/2006/relationships/worksheet" Target="worksheets/sheet4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新增功能开发投产比">
    <tabColor/>
  </sheetPr>
  <dimension ref="B8"/>
  <sheetViews>
    <sheetView showGridLines="true" workbookViewId="0"/>
  </sheetViews>
  <sheetFormatPr baseColWidth="13" defaultRowHeight="18" customHeight="true"/>
  <cols>
    <col min="1" max="1" width="13.6719" style="22"/>
    <col min="2" max="2" width="28.3242" style="22" customWidth="true"/>
    <col min="3" max="3" width="27.5117" style="22" customWidth="true"/>
    <col min="4" max="4" width="32.5039" style="22" customWidth="true"/>
    <col min="5" max="5" width="31.5625" style="22" customWidth="true"/>
  </cols>
  <sheetData>
    <row r="1" spans="1:5" s="45" customFormat="true">
      <c r="A1" s="20" t="s"/>
      <c r="B1" s="21" t="s">
        <v>68</v>
      </c>
      <c r="C1" s="20" t="s">
        <v>69</v>
      </c>
      <c r="D1" s="20" t="s">
        <v>41</v>
      </c>
      <c r="E1" s="20" t="s">
        <v>70</v>
      </c>
    </row>
    <row r="2" spans="1:5">
      <c r="A2" s="22" t="s">
        <v>71</v>
      </c>
      <c r="B2" s="22" t="s">
        <v>72</v>
      </c>
      <c r="C2" s="22" t="s">
        <v>72</v>
      </c>
      <c r="D2" s="22" t="s">
        <v>73</v>
      </c>
      <c r="E2" s="22" t="s">
        <v>74</v>
      </c>
    </row>
    <row r="3" spans="1:5">
      <c r="A3" s="22" t="s">
        <v>75</v>
      </c>
      <c r="B3" s="22" t="s">
        <v>76</v>
      </c>
      <c r="C3" s="22" t="s">
        <v>77</v>
      </c>
      <c r="D3" s="22" t="s">
        <v>78</v>
      </c>
      <c r="E3" s="22" t="s">
        <v>79</v>
      </c>
    </row>
    <row r="4" spans="4:4">
      <c r="D4" s="23" t="s"/>
    </row>
    <row r="5" spans="1:5">
      <c r="A5" s="22" t="s">
        <v>80</v>
      </c>
      <c r="B5" s="22" t="s">
        <v>81</v>
      </c>
      <c r="C5" s="22" t="s">
        <v>82</v>
      </c>
      <c r="D5" s="22" t="s">
        <v>83</v>
      </c>
      <c r="E5" s="22" t="s">
        <v>84</v>
      </c>
    </row>
    <row r="6" spans="2:5" ht="64.5" customHeight="true">
      <c r="B6" s="22" t="s">
        <v>85</v>
      </c>
      <c r="C6" s="22" t="s">
        <v>86</v>
      </c>
      <c r="D6" s="24" t="s">
        <v>87</v>
      </c>
      <c r="E6" s="22" t="s">
        <v>88</v>
      </c>
    </row>
    <row r="7" spans="2:3" ht="38.25" customHeight="true">
      <c r="B7" s="22" t="s">
        <v>89</v>
      </c>
      <c r="C7" s="22" t="s">
        <v>90</v>
      </c>
    </row>
    <row r="8" spans="2:2" ht="25.5" customHeight="true">
      <c r="B8" s="22" t="s">
        <v>91</v>
      </c>
    </row>
  </sheetData>
  <mergeCells count="1">
    <mergeCell ref="A5:A8"/>
  </mergeCells>
</worksheet>
</file>

<file path=xl/worksheets/sheet2.xml><?xml version="1.0" encoding="utf-8"?>
<worksheet xmlns="http://schemas.openxmlformats.org/spreadsheetml/2006/main">
  <sheetPr codeName="新产品功能模块架构"/>
  <dimension ref="E13"/>
  <sheetViews>
    <sheetView showGridLines="true" workbookViewId="0"/>
  </sheetViews>
  <cols>
    <col min="1" max="1" width="21.582" style="43" customWidth="true"/>
    <col min="2" max="2" width="32.3711" style="43" customWidth="true"/>
    <col min="3" max="3" width="26.9727" style="43" customWidth="true"/>
    <col min="4" max="4" width="37.7617" style="43" customWidth="true"/>
    <col min="5" max="5" width="32.3711" style="43" customWidth="true"/>
    <col min="6" max="26" width="13.6719" style="43"/>
  </cols>
  <sheetData>
    <row r="1" spans="1:5">
      <c r="A1" s="41" t="s">
        <v>194</v>
      </c>
      <c r="B1" s="41" t="s">
        <v>195</v>
      </c>
      <c r="C1" s="41" t="s">
        <v>196</v>
      </c>
      <c r="D1" s="41" t="s">
        <v>197</v>
      </c>
      <c r="E1" s="41" t="s">
        <v>198</v>
      </c>
    </row>
    <row r="2" spans="1:5">
      <c r="A2" s="42" t="s">
        <v>27</v>
      </c>
      <c r="B2" s="42" t="s">
        <v>199</v>
      </c>
      <c r="C2" s="42" t="s">
        <v>200</v>
      </c>
      <c r="D2" s="42" t="s">
        <v>201</v>
      </c>
      <c r="E2" s="42" t="s">
        <v>202</v>
      </c>
    </row>
    <row r="3" spans="1:5">
      <c r="A3" s="42" t="s">
        <v>20</v>
      </c>
      <c r="B3" s="42" t="s">
        <v>203</v>
      </c>
      <c r="C3" s="42" t="s">
        <v>204</v>
      </c>
      <c r="D3" s="42" t="s">
        <v>205</v>
      </c>
      <c r="E3" s="42" t="s">
        <v>206</v>
      </c>
    </row>
    <row r="4" spans="1:5">
      <c r="A4" s="42" t="s">
        <v>207</v>
      </c>
      <c r="B4" s="42" t="s">
        <v>208</v>
      </c>
      <c r="C4" s="42" t="s">
        <v>209</v>
      </c>
      <c r="D4" s="42" t="s">
        <v>210</v>
      </c>
      <c r="E4" s="42" t="s">
        <v>211</v>
      </c>
    </row>
    <row r="5" spans="1:5">
      <c r="A5" s="42" t="s">
        <v>212</v>
      </c>
      <c r="B5" s="42" t="s">
        <v>213</v>
      </c>
      <c r="C5" s="42" t="s">
        <v>51</v>
      </c>
      <c r="D5" s="42" t="s">
        <v>214</v>
      </c>
      <c r="E5" s="42" t="s">
        <v>215</v>
      </c>
    </row>
    <row r="6" spans="1:5">
      <c r="A6" s="42" t="s">
        <v>23</v>
      </c>
      <c r="B6" s="42" t="s">
        <v>216</v>
      </c>
      <c r="C6" s="42" t="s">
        <v>24</v>
      </c>
      <c r="D6" s="42" t="s">
        <v>217</v>
      </c>
      <c r="E6" s="42" t="s">
        <v>218</v>
      </c>
    </row>
    <row r="7" spans="1:5">
      <c r="A7" s="42" t="s">
        <v>219</v>
      </c>
      <c r="B7" s="42" t="s">
        <v>220</v>
      </c>
      <c r="C7" s="42" t="s">
        <v>24</v>
      </c>
      <c r="D7" s="42" t="s">
        <v>221</v>
      </c>
      <c r="E7" s="42" t="s">
        <v>162</v>
      </c>
    </row>
    <row r="8" spans="1:5">
      <c r="A8" s="42" t="s">
        <v>222</v>
      </c>
      <c r="B8" s="42" t="s">
        <v>223</v>
      </c>
      <c r="C8" s="42" t="s">
        <v>24</v>
      </c>
      <c r="D8" s="42" t="s">
        <v>224</v>
      </c>
      <c r="E8" s="42" t="s">
        <v>175</v>
      </c>
    </row>
    <row r="9" spans="1:5">
      <c r="A9" s="42" t="s">
        <v>225</v>
      </c>
      <c r="B9" s="42" t="s">
        <v>226</v>
      </c>
      <c r="C9" s="42" t="s">
        <v>24</v>
      </c>
      <c r="D9" s="42" t="s">
        <v>227</v>
      </c>
      <c r="E9" s="42" t="s">
        <v>228</v>
      </c>
    </row>
    <row r="10" spans="1:5">
      <c r="A10" s="42" t="s">
        <v>163</v>
      </c>
      <c r="B10" s="42" t="s">
        <v>229</v>
      </c>
      <c r="C10" s="42" t="s">
        <v>230</v>
      </c>
      <c r="D10" s="42" t="s">
        <v>231</v>
      </c>
      <c r="E10" s="42" t="s">
        <v>172</v>
      </c>
    </row>
    <row r="11" spans="1:5">
      <c r="A11" s="42" t="s">
        <v>232</v>
      </c>
      <c r="B11" s="42" t="s">
        <v>233</v>
      </c>
      <c r="C11" s="42" t="s">
        <v>230</v>
      </c>
      <c r="D11" s="42" t="s">
        <v>234</v>
      </c>
      <c r="E11" s="42" t="s">
        <v>235</v>
      </c>
    </row>
    <row r="12" spans="1:5">
      <c r="A12" s="42" t="s">
        <v>236</v>
      </c>
      <c r="B12" s="42" t="s">
        <v>237</v>
      </c>
      <c r="C12" s="42" t="s">
        <v>238</v>
      </c>
      <c r="D12" s="42" t="s">
        <v>239</v>
      </c>
      <c r="E12" s="42" t="s">
        <v>156</v>
      </c>
    </row>
    <row r="13" spans="1:5">
      <c r="A13" s="43" t="s">
        <v>240</v>
      </c>
      <c r="B13" s="43" t="s">
        <v>241</v>
      </c>
      <c r="C13" s="44" t="s">
        <v>30</v>
      </c>
      <c r="D13" s="44" t="s">
        <v>242</v>
      </c>
      <c r="E13" s="44" t="s">
        <v>185</v>
      </c>
    </row>
  </sheetData>
</worksheet>
</file>

<file path=xl/worksheets/sheet3.xml><?xml version="1.0" encoding="utf-8"?>
<worksheet xmlns="http://schemas.openxmlformats.org/spreadsheetml/2006/main">
  <sheetPr codeName="用户场景功能清单">
    <tabColor/>
  </sheetPr>
  <dimension ref="G34"/>
  <sheetViews>
    <sheetView showGridLines="true" workbookViewId="0"/>
  </sheetViews>
  <sheetFormatPr baseColWidth="13" defaultRowHeight="18" customHeight="true"/>
  <cols>
    <col min="1" max="1" width="19.4219" style="36" customWidth="true"/>
    <col min="2" max="2" width="73.2422" style="36" customWidth="true"/>
    <col min="3" max="3" width="21.8516" style="36" customWidth="true"/>
    <col min="4" max="4" width="44.3711" style="36" customWidth="true"/>
    <col min="5" max="5" width="30.2109" style="36" customWidth="true"/>
    <col min="6" max="7" width="21.582" style="36" hidden="true" customWidth="true"/>
    <col min="8" max="8" width="13.6719" style="36"/>
    <col min="9" max="9" width="58.7539" style="36" customWidth="true"/>
    <col min="10" max="10" width="22.793" style="36" customWidth="true"/>
    <col min="11" max="26" width="13.6719" style="36"/>
  </cols>
  <sheetData>
    <row r="1" spans="1:26" s="45" customFormat="true">
      <c r="A1" s="25" t="s">
        <v>92</v>
      </c>
      <c r="B1" s="26" t="s">
        <v>93</v>
      </c>
      <c r="C1" s="27" t="s">
        <v>94</v>
      </c>
      <c r="D1" s="28" t="s">
        <v>95</v>
      </c>
      <c r="E1" s="29" t="s"/>
      <c r="F1" s="30" t="s">
        <v>96</v>
      </c>
      <c r="G1" s="30" t="s">
        <v>97</v>
      </c>
      <c r="H1" s="29" t="s"/>
      <c r="I1" s="29" t="s"/>
      <c r="J1" s="29" t="s"/>
      <c r="K1" s="29" t="s"/>
      <c r="L1" s="29" t="s"/>
      <c r="M1" s="29" t="s"/>
      <c r="N1" s="29" t="s"/>
      <c r="O1" s="29" t="s"/>
      <c r="P1" s="29" t="s"/>
      <c r="Q1" s="29" t="s"/>
      <c r="R1" s="29" t="s"/>
      <c r="S1" s="29" t="s"/>
      <c r="T1" s="29" t="s"/>
      <c r="U1" s="29" t="s"/>
      <c r="V1" s="29" t="s"/>
      <c r="W1" s="29" t="s"/>
      <c r="X1" s="29" t="s"/>
      <c r="Y1" s="29" t="s"/>
      <c r="Z1" s="29" t="s"/>
    </row>
    <row r="2" spans="1:7">
      <c r="A2" s="31" t="s">
        <v>12</v>
      </c>
      <c r="B2" s="32" t="s">
        <v>98</v>
      </c>
      <c r="C2" s="33" t="s">
        <v>99</v>
      </c>
      <c r="F2" s="34" t="s">
        <v>100</v>
      </c>
      <c r="G2" s="34" t="s">
        <v>101</v>
      </c>
    </row>
    <row r="3" spans="1:7">
      <c r="A3" s="35" t="s"/>
      <c r="B3" s="32" t="s">
        <v>102</v>
      </c>
      <c r="C3" s="33" t="s">
        <v>15</v>
      </c>
      <c r="D3" s="36" t="s">
        <v>103</v>
      </c>
      <c r="F3" s="34" t="s">
        <v>104</v>
      </c>
      <c r="G3" s="34" t="s">
        <v>105</v>
      </c>
    </row>
    <row r="4" spans="1:7">
      <c r="A4" s="35" t="s"/>
      <c r="B4" s="32" t="s">
        <v>106</v>
      </c>
      <c r="C4" s="33" t="s">
        <v>32</v>
      </c>
      <c r="D4" s="36" t="s">
        <v>107</v>
      </c>
      <c r="F4" s="34" t="s">
        <v>108</v>
      </c>
      <c r="G4" s="34" t="s">
        <v>109</v>
      </c>
    </row>
    <row r="5" spans="1:7">
      <c r="A5" s="35" t="s"/>
      <c r="B5" s="32" t="s">
        <v>110</v>
      </c>
      <c r="C5" s="33" t="s">
        <v>111</v>
      </c>
      <c r="F5" s="34" t="s">
        <v>112</v>
      </c>
      <c r="G5" s="34" t="s">
        <v>113</v>
      </c>
    </row>
    <row r="6" spans="1:7">
      <c r="A6" s="35" t="s"/>
      <c r="B6" s="32" t="s">
        <v>114</v>
      </c>
      <c r="C6" s="33" t="s">
        <v>115</v>
      </c>
      <c r="F6" s="34" t="s">
        <v>116</v>
      </c>
      <c r="G6" s="34" t="s">
        <v>117</v>
      </c>
    </row>
    <row r="7" spans="1:7">
      <c r="A7" s="35" t="s"/>
      <c r="B7" s="32" t="s">
        <v>118</v>
      </c>
      <c r="C7" s="37" t="s">
        <v>119</v>
      </c>
      <c r="D7" s="32" t="s">
        <v>120</v>
      </c>
      <c r="F7" s="34" t="s">
        <v>121</v>
      </c>
      <c r="G7" s="34" t="s">
        <v>122</v>
      </c>
    </row>
    <row r="8" spans="1:7">
      <c r="A8" s="35" t="s"/>
      <c r="B8" s="32" t="s">
        <v>123</v>
      </c>
      <c r="C8" s="37" t="s">
        <v>124</v>
      </c>
      <c r="D8" s="32" t="s">
        <v>53</v>
      </c>
      <c r="F8" s="34" t="s">
        <v>125</v>
      </c>
      <c r="G8" s="34" t="s">
        <v>126</v>
      </c>
    </row>
    <row r="9" spans="1:7">
      <c r="A9" s="38" t="s"/>
      <c r="B9" s="32" t="s">
        <v>127</v>
      </c>
      <c r="C9" s="37" t="s">
        <v>128</v>
      </c>
      <c r="D9" s="32" t="s">
        <v>129</v>
      </c>
      <c r="F9" s="34" t="s">
        <v>130</v>
      </c>
      <c r="G9" s="34" t="s">
        <v>131</v>
      </c>
    </row>
    <row r="10" spans="1:7">
      <c r="A10" s="31" t="s">
        <v>39</v>
      </c>
      <c r="B10" s="32" t="s">
        <v>132</v>
      </c>
      <c r="C10" s="37" t="s">
        <v>124</v>
      </c>
      <c r="D10" s="32" t="s">
        <v>133</v>
      </c>
      <c r="F10" s="34" t="s">
        <v>134</v>
      </c>
      <c r="G10" s="34" t="s">
        <v>135</v>
      </c>
    </row>
    <row r="11" spans="1:7">
      <c r="A11" s="35" t="s"/>
      <c r="B11" s="32" t="s">
        <v>136</v>
      </c>
      <c r="C11" s="37" t="s">
        <v>128</v>
      </c>
      <c r="D11" s="32" t="s">
        <v>137</v>
      </c>
      <c r="F11" s="34" t="s">
        <v>138</v>
      </c>
      <c r="G11" s="34" t="s">
        <v>135</v>
      </c>
    </row>
    <row r="12" spans="1:7">
      <c r="A12" s="38" t="s"/>
      <c r="B12" s="32" t="s">
        <v>139</v>
      </c>
      <c r="C12" s="37" t="s">
        <v>140</v>
      </c>
      <c r="D12" s="32" t="s">
        <v>141</v>
      </c>
      <c r="F12" s="34" t="s">
        <v>142</v>
      </c>
      <c r="G12" s="34" t="s">
        <v>143</v>
      </c>
    </row>
    <row r="13" spans="1:7">
      <c r="A13" s="31" t="s">
        <v>24</v>
      </c>
      <c r="B13" s="32" t="s">
        <v>144</v>
      </c>
      <c r="C13" s="37" t="s">
        <v>145</v>
      </c>
      <c r="D13" s="32" t="s">
        <v>146</v>
      </c>
      <c r="F13" s="34" t="s">
        <v>147</v>
      </c>
      <c r="G13" s="34" t="s">
        <v>143</v>
      </c>
    </row>
    <row r="14" spans="1:7">
      <c r="A14" s="35" t="s"/>
      <c r="B14" s="32" t="s">
        <v>148</v>
      </c>
      <c r="C14" s="37" t="s">
        <v>140</v>
      </c>
      <c r="D14" s="32" t="s">
        <v>149</v>
      </c>
      <c r="F14" s="34" t="s">
        <v>150</v>
      </c>
      <c r="G14" s="34" t="s">
        <v>143</v>
      </c>
    </row>
    <row r="15" spans="1:7">
      <c r="A15" s="35" t="s"/>
      <c r="B15" s="32" t="s">
        <v>151</v>
      </c>
      <c r="C15" s="37" t="s">
        <v>152</v>
      </c>
      <c r="D15" s="32" t="s">
        <v>153</v>
      </c>
      <c r="F15" s="34" t="s">
        <v>154</v>
      </c>
      <c r="G15" s="34" t="s">
        <v>126</v>
      </c>
    </row>
    <row r="16" spans="1:7">
      <c r="A16" s="35" t="s"/>
      <c r="B16" s="32" t="s">
        <v>155</v>
      </c>
      <c r="C16" s="33" t="s">
        <v>156</v>
      </c>
      <c r="F16" s="34" t="s">
        <v>154</v>
      </c>
      <c r="G16" s="34" t="s">
        <v>131</v>
      </c>
    </row>
    <row r="17" spans="1:7">
      <c r="A17" s="35" t="s"/>
      <c r="B17" s="34" t="s">
        <v>157</v>
      </c>
      <c r="C17" s="37" t="s">
        <v>158</v>
      </c>
      <c r="F17" s="34" t="s">
        <v>159</v>
      </c>
      <c r="G17" s="34" t="s">
        <v>135</v>
      </c>
    </row>
    <row r="18" spans="1:7">
      <c r="A18" s="35" t="s"/>
      <c r="B18" s="36" t="s">
        <v>160</v>
      </c>
      <c r="C18" s="37" t="s">
        <v>161</v>
      </c>
      <c r="F18" s="34" t="s">
        <v>162</v>
      </c>
      <c r="G18" s="34" t="s">
        <v>135</v>
      </c>
    </row>
    <row r="19" spans="1:7">
      <c r="A19" s="38" t="s"/>
      <c r="B19" s="36" t="s">
        <v>163</v>
      </c>
      <c r="C19" s="37" t="s">
        <v>164</v>
      </c>
      <c r="F19" s="34" t="s">
        <v>159</v>
      </c>
      <c r="G19" s="34" t="s">
        <v>165</v>
      </c>
    </row>
    <row r="20" spans="1:7">
      <c r="A20" s="31" t="s">
        <v>30</v>
      </c>
      <c r="B20" s="32" t="s">
        <v>166</v>
      </c>
      <c r="C20" s="37" t="s">
        <v>167</v>
      </c>
      <c r="D20" s="32" t="s">
        <v>168</v>
      </c>
      <c r="F20" s="34" t="s">
        <v>169</v>
      </c>
      <c r="G20" s="34" t="s">
        <v>135</v>
      </c>
    </row>
    <row r="21" spans="1:7">
      <c r="A21" s="35" t="s"/>
      <c r="B21" s="32" t="s">
        <v>170</v>
      </c>
      <c r="C21" s="37" t="s">
        <v>140</v>
      </c>
      <c r="D21" s="32" t="s">
        <v>171</v>
      </c>
      <c r="F21" s="34" t="s">
        <v>172</v>
      </c>
      <c r="G21" s="34" t="s">
        <v>135</v>
      </c>
    </row>
    <row r="22" spans="1:7">
      <c r="A22" s="35" t="s"/>
      <c r="B22" s="32" t="s">
        <v>173</v>
      </c>
      <c r="C22" s="33" t="s">
        <v>174</v>
      </c>
      <c r="F22" s="34" t="s">
        <v>175</v>
      </c>
      <c r="G22" s="34" t="s">
        <v>135</v>
      </c>
    </row>
    <row r="23" spans="1:7">
      <c r="A23" s="35" t="s"/>
      <c r="B23" s="32" t="s">
        <v>176</v>
      </c>
      <c r="C23" s="33" t="s">
        <v>48</v>
      </c>
      <c r="F23" s="34" t="s">
        <v>177</v>
      </c>
      <c r="G23" s="34" t="s">
        <v>135</v>
      </c>
    </row>
    <row r="24" spans="1:7">
      <c r="A24" s="35" t="s"/>
      <c r="B24" s="32" t="s">
        <v>178</v>
      </c>
      <c r="C24" s="33" t="s">
        <v>179</v>
      </c>
      <c r="F24" s="34" t="s">
        <v>180</v>
      </c>
      <c r="G24" s="34" t="s">
        <v>181</v>
      </c>
    </row>
    <row r="25" spans="1:7">
      <c r="A25" s="38" t="s"/>
      <c r="B25" s="32" t="s">
        <v>182</v>
      </c>
      <c r="C25" s="33" t="s">
        <v>183</v>
      </c>
      <c r="F25" s="34" t="s">
        <v>172</v>
      </c>
      <c r="G25" s="34" t="s">
        <v>135</v>
      </c>
    </row>
    <row r="26" spans="1:7">
      <c r="A26" s="36" t="s"/>
      <c r="B26" s="34" t="s"/>
      <c r="C26" s="34" t="s"/>
      <c r="D26" s="34" t="s"/>
      <c r="E26" s="34" t="s"/>
      <c r="F26" s="34" t="s">
        <v>184</v>
      </c>
      <c r="G26" s="34" t="s">
        <v>135</v>
      </c>
    </row>
    <row r="27" spans="1:7">
      <c r="A27" s="39" t="s"/>
      <c r="B27" s="34" t="s"/>
      <c r="C27" s="34" t="s"/>
      <c r="D27" s="36" t="s"/>
      <c r="E27" s="34" t="s"/>
      <c r="F27" s="34" t="s">
        <v>185</v>
      </c>
      <c r="G27" s="34" t="s">
        <v>186</v>
      </c>
    </row>
    <row r="28" spans="1:7">
      <c r="A28" s="40" t="s"/>
      <c r="B28" s="34" t="s"/>
      <c r="C28" s="34" t="s"/>
      <c r="D28" s="36" t="s"/>
      <c r="E28" s="34" t="s"/>
      <c r="F28" s="34" t="s">
        <v>154</v>
      </c>
      <c r="G28" s="34" t="s">
        <v>187</v>
      </c>
    </row>
    <row r="29" spans="1:7">
      <c r="A29" s="40" t="s"/>
      <c r="B29" s="34" t="s"/>
      <c r="C29" s="34" t="s"/>
      <c r="D29" s="36" t="s"/>
      <c r="E29" s="34" t="s"/>
      <c r="F29" s="34" t="s">
        <v>154</v>
      </c>
      <c r="G29" s="34" t="s">
        <v>188</v>
      </c>
    </row>
    <row r="30" spans="1:7">
      <c r="A30" s="40" t="s"/>
      <c r="B30" s="34" t="s"/>
      <c r="C30" s="34" t="s"/>
      <c r="D30" s="36" t="s"/>
      <c r="E30" s="34" t="s"/>
      <c r="F30" s="34" t="s">
        <v>189</v>
      </c>
      <c r="G30" s="34" t="s">
        <v>190</v>
      </c>
    </row>
    <row r="31" spans="1:7">
      <c r="A31" s="40" t="s"/>
      <c r="B31" s="34" t="s"/>
      <c r="C31" s="34" t="s"/>
      <c r="D31" s="36" t="s"/>
      <c r="E31" s="34" t="s"/>
      <c r="F31" s="34" t="s">
        <v>189</v>
      </c>
      <c r="G31" s="34" t="s">
        <v>191</v>
      </c>
    </row>
    <row r="32" spans="1:7">
      <c r="A32" s="40" t="s"/>
      <c r="B32" s="34" t="s"/>
      <c r="C32" s="34" t="s"/>
      <c r="D32" s="36" t="s"/>
      <c r="E32" s="34" t="s"/>
      <c r="F32" s="34" t="s">
        <v>192</v>
      </c>
      <c r="G32" s="34" t="s">
        <v>193</v>
      </c>
    </row>
    <row r="33" spans="1:7">
      <c r="A33" s="40" t="s"/>
      <c r="B33" s="34" t="s"/>
      <c r="C33" s="34" t="s"/>
      <c r="D33" s="36" t="s"/>
      <c r="E33" s="34" t="s"/>
      <c r="F33" s="34" t="s">
        <v>185</v>
      </c>
      <c r="G33" s="34" t="s">
        <v>135</v>
      </c>
    </row>
    <row r="34" spans="1:7">
      <c r="A34" s="40" t="s"/>
      <c r="B34" s="34" t="s"/>
      <c r="C34" s="34" t="s"/>
      <c r="D34" s="36" t="s"/>
      <c r="E34" s="34" t="s"/>
      <c r="F34" s="34" t="s">
        <v>185</v>
      </c>
      <c r="G34" s="34" t="s">
        <v>135</v>
      </c>
    </row>
  </sheetData>
  <mergeCells count="4">
    <mergeCell ref="A2:A9"/>
    <mergeCell ref="A10:A12"/>
    <mergeCell ref="A13:A19"/>
    <mergeCell ref="A20:A25"/>
  </mergeCells>
</worksheet>
</file>

<file path=xl/worksheets/sheet4.xml><?xml version="1.0" encoding="utf-8"?>
<worksheet xmlns="http://schemas.openxmlformats.org/spreadsheetml/2006/main">
  <sheetPr codeName="核心新增能力清单">
    <tabColor/>
  </sheetPr>
  <dimension ref="A29"/>
  <sheetViews>
    <sheetView showGridLines="true" workbookViewId="0"/>
  </sheetViews>
  <sheetFormatPr baseColWidth="13" defaultRowHeight="18" customHeight="true"/>
  <cols>
    <col min="1" max="1" width="27.7109" customWidth="true"/>
    <col min="2" max="2" width="21.582" hidden="true" customWidth="true"/>
    <col min="3" max="3" width="19.4219" hidden="true" customWidth="true"/>
    <col min="4" max="4" width="37.7617" hidden="true" customWidth="true"/>
    <col min="5" max="7" width="14.1641" style="48" customWidth="true"/>
    <col min="8" max="9" width="15.3711" style="48" customWidth="true"/>
    <col min="10" max="10" width="12.9414" style="48" customWidth="true"/>
  </cols>
  <sheetData>
    <row r="1" spans="1:17" s="46" customFormat="true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5" t="s"/>
      <c r="L1" s="5" t="s"/>
      <c r="M1" s="5" t="s"/>
      <c r="N1" s="5" t="s"/>
      <c r="O1" s="5" t="s"/>
      <c r="P1" s="6" t="s"/>
      <c r="Q1" s="6" t="s"/>
    </row>
    <row r="2" spans="1:17" s="47" customFormat="true">
      <c r="A2" s="7" t="s">
        <v>11</v>
      </c>
      <c r="B2" s="8" t="s"/>
      <c r="C2" s="8" t="s">
        <v>12</v>
      </c>
      <c r="D2" s="8" t="s">
        <v>13</v>
      </c>
      <c r="E2" s="9">
        <v>5</v>
      </c>
      <c r="F2" s="9">
        <v>5</v>
      </c>
      <c r="G2" s="9">
        <v>5</v>
      </c>
      <c r="H2" s="9">
        <v>3</v>
      </c>
      <c r="I2" s="10">
        <f>=0.3*E2+0.25*F2+0.25*G2+0.2*H2</f>
        <v>4.6</v>
      </c>
      <c r="J2" s="9" t="s">
        <v>14</v>
      </c>
      <c r="K2" s="11" t="s"/>
      <c r="L2" s="11" t="s"/>
      <c r="M2" s="11" t="s"/>
      <c r="N2" s="11" t="s"/>
      <c r="O2" s="11" t="s"/>
      <c r="P2" s="12" t="s"/>
      <c r="Q2" s="12" t="s"/>
    </row>
    <row r="3" spans="1:17" s="47" customFormat="true">
      <c r="A3" s="7" t="s">
        <v>15</v>
      </c>
      <c r="B3" s="8" t="s">
        <v>16</v>
      </c>
      <c r="C3" s="8" t="s">
        <v>12</v>
      </c>
      <c r="D3" s="8" t="s">
        <v>17</v>
      </c>
      <c r="E3" s="10">
        <v>5</v>
      </c>
      <c r="F3" s="10">
        <v>5</v>
      </c>
      <c r="G3" s="10">
        <v>5</v>
      </c>
      <c r="H3" s="10">
        <v>2</v>
      </c>
      <c r="I3" s="10">
        <f>=0.3*E3+0.25*F3+0.25*G3+0.2*H3</f>
        <v>4.4</v>
      </c>
      <c r="J3" s="9" t="s">
        <v>18</v>
      </c>
      <c r="K3" s="11" t="s"/>
      <c r="L3" s="11" t="s"/>
      <c r="M3" s="11" t="s"/>
      <c r="N3" s="11" t="s"/>
      <c r="O3" s="11" t="s"/>
      <c r="P3" s="12" t="s"/>
      <c r="Q3" s="12" t="s"/>
    </row>
    <row r="4" spans="1:17" s="47" customFormat="true">
      <c r="A4" s="7" t="s">
        <v>19</v>
      </c>
      <c r="B4" s="8" t="s">
        <v>20</v>
      </c>
      <c r="C4" s="8" t="s">
        <v>12</v>
      </c>
      <c r="D4" s="8" t="s">
        <v>21</v>
      </c>
      <c r="E4" s="10">
        <v>5</v>
      </c>
      <c r="F4" s="10">
        <v>5</v>
      </c>
      <c r="G4" s="10">
        <v>5</v>
      </c>
      <c r="H4" s="10">
        <v>2</v>
      </c>
      <c r="I4" s="10">
        <f>=0.3*E4+0.25*F4+0.25*G4+0.2*H4</f>
        <v>4.4</v>
      </c>
      <c r="J4" s="9" t="s">
        <v>18</v>
      </c>
      <c r="K4" s="11" t="s"/>
      <c r="L4" s="11" t="s"/>
      <c r="M4" s="11" t="s"/>
      <c r="N4" s="11" t="s"/>
      <c r="O4" s="11" t="s"/>
      <c r="P4" s="12" t="s"/>
      <c r="Q4" s="12" t="s"/>
    </row>
    <row r="5" spans="1:17" s="47" customFormat="true">
      <c r="A5" s="7" t="s">
        <v>22</v>
      </c>
      <c r="B5" s="8" t="s">
        <v>23</v>
      </c>
      <c r="C5" s="8" t="s">
        <v>24</v>
      </c>
      <c r="D5" s="8" t="s">
        <v>25</v>
      </c>
      <c r="E5" s="9">
        <v>5</v>
      </c>
      <c r="F5" s="9">
        <v>5</v>
      </c>
      <c r="G5" s="9">
        <v>5</v>
      </c>
      <c r="H5" s="9">
        <v>2</v>
      </c>
      <c r="I5" s="10">
        <f>=0.3*E5+0.25*F5+0.25*G5+0.2*H5</f>
        <v>4.4</v>
      </c>
      <c r="J5" s="9" t="s">
        <v>18</v>
      </c>
      <c r="K5" s="11" t="s"/>
      <c r="L5" s="11" t="s"/>
      <c r="M5" s="11" t="s"/>
      <c r="N5" s="11" t="s"/>
      <c r="O5" s="11" t="s"/>
      <c r="P5" s="12" t="s"/>
      <c r="Q5" s="12" t="s"/>
    </row>
    <row r="6" spans="1:10" s="47" customFormat="true">
      <c r="A6" s="7" t="s">
        <v>26</v>
      </c>
      <c r="B6" s="8" t="s">
        <v>27</v>
      </c>
      <c r="C6" s="8" t="s">
        <v>12</v>
      </c>
      <c r="D6" s="8" t="s">
        <v>28</v>
      </c>
      <c r="E6" s="10">
        <v>5</v>
      </c>
      <c r="F6" s="10">
        <v>5</v>
      </c>
      <c r="G6" s="10">
        <v>3</v>
      </c>
      <c r="H6" s="10">
        <v>4</v>
      </c>
      <c r="I6" s="10">
        <f>=0.3*E6+0.25*F6+0.25*G6+0.2*H6</f>
        <v>4.3</v>
      </c>
      <c r="J6" s="9" t="s">
        <v>18</v>
      </c>
    </row>
    <row r="7" spans="1:17" s="47" customFormat="true">
      <c r="A7" s="7" t="s">
        <v>29</v>
      </c>
      <c r="B7" s="8" t="s">
        <v>27</v>
      </c>
      <c r="C7" s="8" t="s">
        <v>30</v>
      </c>
      <c r="D7" s="8" t="s">
        <v>31</v>
      </c>
      <c r="E7" s="9">
        <v>5</v>
      </c>
      <c r="F7" s="9">
        <v>5</v>
      </c>
      <c r="G7" s="9">
        <v>3</v>
      </c>
      <c r="H7" s="9">
        <v>4</v>
      </c>
      <c r="I7" s="10">
        <f>=0.3*E7+0.25*F7+0.25*G7+0.2*H7</f>
        <v>4.3</v>
      </c>
      <c r="J7" s="9" t="s">
        <v>18</v>
      </c>
      <c r="K7" s="11" t="s"/>
      <c r="L7" s="11" t="s"/>
      <c r="M7" s="11" t="s"/>
      <c r="N7" s="11" t="s"/>
      <c r="O7" s="11" t="s"/>
      <c r="P7" s="12" t="s"/>
      <c r="Q7" s="12" t="s"/>
    </row>
    <row r="8" spans="1:17" s="47" customFormat="true">
      <c r="A8" s="7" t="s">
        <v>32</v>
      </c>
      <c r="B8" s="8" t="s">
        <v>33</v>
      </c>
      <c r="C8" s="8" t="s">
        <v>12</v>
      </c>
      <c r="D8" s="8" t="s">
        <v>34</v>
      </c>
      <c r="E8" s="10">
        <v>4</v>
      </c>
      <c r="F8" s="10">
        <v>5</v>
      </c>
      <c r="G8" s="10">
        <v>5</v>
      </c>
      <c r="H8" s="10">
        <v>2</v>
      </c>
      <c r="I8" s="10">
        <f>=0.3*E8+0.25*F8+0.25*G8+0.2*H8</f>
        <v>4.1</v>
      </c>
      <c r="J8" s="9" t="s">
        <v>18</v>
      </c>
      <c r="K8" s="11" t="s"/>
      <c r="L8" s="11" t="s"/>
      <c r="M8" s="11" t="s"/>
      <c r="N8" s="11" t="s"/>
      <c r="O8" s="11" t="s"/>
      <c r="P8" s="12" t="s"/>
      <c r="Q8" s="12" t="s"/>
    </row>
    <row r="9" spans="1:17" s="47" customFormat="true">
      <c r="A9" s="7" t="s">
        <v>35</v>
      </c>
      <c r="B9" s="8" t="s">
        <v>27</v>
      </c>
      <c r="C9" s="8" t="s">
        <v>36</v>
      </c>
      <c r="D9" s="8" t="s">
        <v>37</v>
      </c>
      <c r="E9" s="9">
        <v>5</v>
      </c>
      <c r="F9" s="9">
        <v>5</v>
      </c>
      <c r="G9" s="9">
        <v>2</v>
      </c>
      <c r="H9" s="9">
        <v>3</v>
      </c>
      <c r="I9" s="10">
        <f>=0.3*E9+0.25*F9+0.25*G9+0.2*H9</f>
        <v>3.85</v>
      </c>
      <c r="J9" s="9" t="s">
        <v>18</v>
      </c>
      <c r="K9" s="11" t="s"/>
      <c r="L9" s="11" t="s"/>
      <c r="M9" s="11" t="s"/>
      <c r="N9" s="11" t="s"/>
      <c r="O9" s="11" t="s"/>
      <c r="P9" s="12" t="s"/>
      <c r="Q9" s="12" t="s"/>
    </row>
    <row r="10" spans="1:17" s="47" customFormat="true">
      <c r="A10" s="7" t="s">
        <v>38</v>
      </c>
      <c r="B10" s="8" t="s">
        <v>27</v>
      </c>
      <c r="C10" s="8" t="s">
        <v>39</v>
      </c>
      <c r="D10" s="8" t="s">
        <v>40</v>
      </c>
      <c r="E10" s="9">
        <v>5</v>
      </c>
      <c r="F10" s="9">
        <v>5</v>
      </c>
      <c r="G10" s="9">
        <v>3</v>
      </c>
      <c r="H10" s="9">
        <v>1</v>
      </c>
      <c r="I10" s="10">
        <f>=0.3*E10+0.25*F10+0.25*G10+0.2*H10</f>
        <v>3.7</v>
      </c>
      <c r="J10" s="9" t="s">
        <v>18</v>
      </c>
      <c r="K10" s="11" t="s"/>
      <c r="L10" s="11" t="s"/>
      <c r="M10" s="11" t="s"/>
      <c r="N10" s="11" t="s"/>
      <c r="O10" s="11" t="s"/>
      <c r="P10" s="12" t="s"/>
      <c r="Q10" s="12" t="s"/>
    </row>
    <row r="11" spans="1:17" s="47" customFormat="true">
      <c r="A11" s="7" t="s">
        <v>41</v>
      </c>
      <c r="B11" s="8" t="s"/>
      <c r="C11" s="8" t="s">
        <v>30</v>
      </c>
      <c r="D11" s="8" t="s">
        <v>42</v>
      </c>
      <c r="E11" s="9">
        <v>5</v>
      </c>
      <c r="F11" s="9">
        <v>5</v>
      </c>
      <c r="G11" s="9">
        <v>3</v>
      </c>
      <c r="H11" s="9">
        <v>1</v>
      </c>
      <c r="I11" s="10">
        <f>=0.3*E11+0.25*F11+0.25*G11+0.2*H11</f>
        <v>3.7</v>
      </c>
      <c r="J11" s="9" t="s">
        <v>18</v>
      </c>
      <c r="K11" s="11" t="s"/>
      <c r="L11" s="11" t="s"/>
      <c r="M11" s="11" t="s"/>
      <c r="N11" s="11" t="s"/>
      <c r="O11" s="11" t="s"/>
      <c r="P11" s="12" t="s"/>
      <c r="Q11" s="12" t="s"/>
    </row>
    <row r="12" spans="1:17" s="46" customFormat="true">
      <c r="A12" s="13" t="s">
        <v>43</v>
      </c>
      <c r="B12" s="14" t="s">
        <v>16</v>
      </c>
      <c r="C12" s="14" t="s">
        <v>12</v>
      </c>
      <c r="D12" s="14" t="s">
        <v>44</v>
      </c>
      <c r="E12" s="15">
        <v>5</v>
      </c>
      <c r="F12" s="15">
        <v>5</v>
      </c>
      <c r="G12" s="15">
        <v>1</v>
      </c>
      <c r="H12" s="15">
        <v>1</v>
      </c>
      <c r="I12" s="16">
        <f>=0.3*E12+0.25*F12+0.25*G12+0.2*H12</f>
        <v>3.2</v>
      </c>
      <c r="J12" s="17" t="s">
        <v>45</v>
      </c>
      <c r="K12" s="5" t="s"/>
      <c r="L12" s="5" t="s"/>
      <c r="M12" s="5" t="s"/>
      <c r="N12" s="5" t="s"/>
      <c r="O12" s="5" t="s"/>
      <c r="P12" s="6" t="s"/>
      <c r="Q12" s="6" t="s"/>
    </row>
    <row r="13" spans="1:17" s="46" customFormat="true">
      <c r="A13" s="13" t="s">
        <v>46</v>
      </c>
      <c r="B13" s="14" t="s">
        <v>27</v>
      </c>
      <c r="C13" s="14" t="s">
        <v>30</v>
      </c>
      <c r="D13" s="14" t="s">
        <v>47</v>
      </c>
      <c r="E13" s="15">
        <v>4</v>
      </c>
      <c r="F13" s="15">
        <v>4</v>
      </c>
      <c r="G13" s="15">
        <v>3</v>
      </c>
      <c r="H13" s="15">
        <v>1</v>
      </c>
      <c r="I13" s="16">
        <f>=0.3*E13+0.25*F13+0.25*G13+0.2*H13</f>
        <v>3.15</v>
      </c>
      <c r="J13" s="15" t="s">
        <v>45</v>
      </c>
      <c r="K13" s="5" t="s"/>
      <c r="L13" s="5" t="s"/>
      <c r="M13" s="5" t="s"/>
      <c r="N13" s="5" t="s"/>
      <c r="O13" s="5" t="s"/>
      <c r="P13" s="6" t="s"/>
      <c r="Q13" s="6" t="s"/>
    </row>
    <row r="14" spans="1:17" s="46" customFormat="true">
      <c r="A14" s="13" t="s">
        <v>48</v>
      </c>
      <c r="B14" s="14" t="s">
        <v>27</v>
      </c>
      <c r="C14" s="14" t="s">
        <v>30</v>
      </c>
      <c r="D14" s="14" t="s">
        <v>49</v>
      </c>
      <c r="E14" s="15">
        <v>4</v>
      </c>
      <c r="F14" s="15">
        <v>5</v>
      </c>
      <c r="G14" s="15">
        <v>2</v>
      </c>
      <c r="H14" s="15">
        <v>1</v>
      </c>
      <c r="I14" s="16">
        <f>=0.3*E14+0.25*F14+0.25*G14+0.2*H14</f>
        <v>3.15</v>
      </c>
      <c r="J14" s="15" t="s">
        <v>45</v>
      </c>
      <c r="K14" s="5" t="s"/>
      <c r="L14" s="5" t="s"/>
      <c r="M14" s="5" t="s"/>
      <c r="N14" s="5" t="s"/>
      <c r="O14" s="5" t="s"/>
      <c r="P14" s="6" t="s"/>
      <c r="Q14" s="6" t="s"/>
    </row>
    <row r="15" spans="1:17" s="46" customFormat="true">
      <c r="A15" s="13" t="s">
        <v>50</v>
      </c>
      <c r="B15" s="14" t="s">
        <v>20</v>
      </c>
      <c r="C15" s="14" t="s">
        <v>51</v>
      </c>
      <c r="D15" s="14" t="s">
        <v>52</v>
      </c>
      <c r="E15" s="15">
        <v>4</v>
      </c>
      <c r="F15" s="15">
        <v>4</v>
      </c>
      <c r="G15" s="15">
        <v>2</v>
      </c>
      <c r="H15" s="15">
        <v>2</v>
      </c>
      <c r="I15" s="16">
        <f>=0.3*E15+0.25*F15+0.25*G15+0.2*H15</f>
        <v>3.1</v>
      </c>
      <c r="J15" s="15" t="s">
        <v>45</v>
      </c>
      <c r="K15" s="5" t="s"/>
      <c r="L15" s="5" t="s"/>
      <c r="M15" s="5" t="s"/>
      <c r="N15" s="5" t="s"/>
      <c r="O15" s="5" t="s"/>
      <c r="P15" s="6" t="s"/>
      <c r="Q15" s="6" t="s"/>
    </row>
    <row r="16" spans="1:17" s="46" customFormat="true">
      <c r="A16" s="13" t="s">
        <v>53</v>
      </c>
      <c r="B16" s="14" t="s">
        <v>16</v>
      </c>
      <c r="C16" s="14" t="s">
        <v>54</v>
      </c>
      <c r="D16" s="14" t="s">
        <v>55</v>
      </c>
      <c r="E16" s="15">
        <v>3</v>
      </c>
      <c r="F16" s="15">
        <v>3</v>
      </c>
      <c r="G16" s="15">
        <v>2</v>
      </c>
      <c r="H16" s="15">
        <v>3</v>
      </c>
      <c r="I16" s="16">
        <f>=0.3*E16+0.25*F16+0.25*G16+0.2*H16</f>
        <v>2.75</v>
      </c>
      <c r="J16" s="15" t="s">
        <v>45</v>
      </c>
      <c r="K16" s="5" t="s"/>
      <c r="L16" s="5" t="s"/>
      <c r="M16" s="5" t="s"/>
      <c r="N16" s="5" t="s"/>
      <c r="O16" s="5" t="s"/>
      <c r="P16" s="6" t="s"/>
      <c r="Q16" s="6" t="s"/>
    </row>
    <row r="17" spans="1:17" s="46" customFormat="true">
      <c r="A17" s="13" t="s">
        <v>56</v>
      </c>
      <c r="B17" s="14" t="s">
        <v>27</v>
      </c>
      <c r="C17" s="14" t="s">
        <v>30</v>
      </c>
      <c r="D17" s="14" t="s">
        <v>57</v>
      </c>
      <c r="E17" s="15">
        <v>4</v>
      </c>
      <c r="F17" s="15">
        <v>2</v>
      </c>
      <c r="G17" s="15">
        <v>2</v>
      </c>
      <c r="H17" s="15">
        <v>2</v>
      </c>
      <c r="I17" s="16">
        <f>=0.3*E17+0.25*F17+0.25*G17+0.2*H17</f>
        <v>2.6</v>
      </c>
      <c r="J17" s="15" t="s">
        <v>45</v>
      </c>
      <c r="K17" s="5" t="s"/>
      <c r="L17" s="5" t="s"/>
      <c r="M17" s="5" t="s"/>
      <c r="N17" s="5" t="s"/>
      <c r="O17" s="5" t="s"/>
      <c r="P17" s="6" t="s"/>
      <c r="Q17" s="6" t="s"/>
    </row>
    <row r="19" spans="1:1">
      <c r="A19" s="18" t="s">
        <v>58</v>
      </c>
    </row>
    <row r="20" spans="1:1">
      <c r="A20" t="s">
        <v>59</v>
      </c>
    </row>
    <row r="21" spans="1:1">
      <c r="A21" t="s">
        <v>60</v>
      </c>
    </row>
    <row r="22" spans="1:1">
      <c r="A22" t="s">
        <v>61</v>
      </c>
    </row>
    <row r="23" spans="1:1">
      <c r="A23" t="s">
        <v>62</v>
      </c>
    </row>
    <row r="25" spans="1:1">
      <c r="A25" s="18" t="s">
        <v>63</v>
      </c>
    </row>
    <row r="26" spans="1:1">
      <c r="A26" s="19" t="s">
        <v>64</v>
      </c>
    </row>
    <row r="27" spans="1:1">
      <c r="A27" s="19" t="s">
        <v>65</v>
      </c>
    </row>
    <row r="28" spans="1:1">
      <c r="A28" s="19" t="s">
        <v>66</v>
      </c>
    </row>
    <row r="29" spans="1:1">
      <c r="A29" s="19" t="s">
        <v>67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2025-11-14T10:48:06Z</dcterms:created>
  <dcterms:modified xsi:type="dcterms:W3CDTF">2025-11-14T10:48:06Z</dcterms:modified>
</cp:coreProperties>
</file>