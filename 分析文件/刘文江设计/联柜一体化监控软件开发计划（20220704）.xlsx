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550" windowHeight="10340"/>
  </bookViews>
  <sheets>
    <sheet name="开发计划" sheetId="1" r:id="rId1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<sst xmlns="http://schemas.openxmlformats.org/spreadsheetml/2006/main" count="226" uniqueCount="106">
  <si>
    <t>联柜监控系统V3.0软件开发方案</t>
  </si>
  <si>
    <t>开发           方案      设计</t>
  </si>
  <si>
    <r>
      <rPr>
        <b/>
        <sz val="11"/>
        <color rgb="FFFF0000"/>
        <rFont val="微软雅黑"/>
        <charset val="134"/>
      </rPr>
      <t>1、风格要求：</t>
    </r>
    <r>
      <rPr>
        <sz val="10"/>
        <rFont val="微软雅黑"/>
        <charset val="134"/>
      </rPr>
      <t>1）按照V3R4版本界面风格的相似要求进行设计；2）界面分辨率按照1280*800像素进行设计；</t>
    </r>
  </si>
  <si>
    <t>备注</t>
  </si>
  <si>
    <r>
      <rPr>
        <b/>
        <sz val="11"/>
        <color rgb="FFFF0000"/>
        <rFont val="微软雅黑"/>
        <charset val="134"/>
      </rPr>
      <t>2、配置要求：</t>
    </r>
    <r>
      <rPr>
        <sz val="10"/>
        <rFont val="微软雅黑"/>
        <charset val="134"/>
      </rPr>
      <t>1）触摸屏为10.1英寸，1GB内存、1.4GHz CPU主频率；                                                                                                                                                                                                                                                   3）设备接入功能，Rs232接口接入UPS01电源；１＃Rs485接入SCM模块（其内部除机柜内IO接口外，还接入温湿度６个、内阻检测最大40节12V蓄电池）；  2＃Rs485接入机架式空调5台；3＃Rs485接入资产管理模块最大12条；4＃Rs485接入单相、三相配电电表、1台UPS02电源、指纹密码一体锁1把；项目配置POE交换机时可以接入摄像头4路、NVR1个；                                                                                                                                                                          5）需具备手机APP、IE访问功能，微信、邮件、短信报警，并提供Modbus TCP上行通讯协议、SNMP上传协议、http上传协议、MQTT上传协议；6）具备多网点组网功能</t>
    </r>
  </si>
  <si>
    <r>
      <rPr>
        <b/>
        <sz val="11"/>
        <color rgb="FFFF0000"/>
        <rFont val="微软雅黑"/>
        <charset val="134"/>
      </rPr>
      <t>3、操作要求：</t>
    </r>
    <r>
      <rPr>
        <sz val="10"/>
        <rFont val="微软雅黑"/>
        <charset val="134"/>
      </rPr>
      <t>1）软件需要标准化，无需现场更改软件，即插即用；</t>
    </r>
  </si>
  <si>
    <r>
      <t>4、界面层级：</t>
    </r>
    <r>
      <rPr>
        <sz val="10"/>
        <rFont val="微软雅黑"/>
        <charset val="134"/>
      </rPr>
      <t>1）软件界面以三级目录为方案进行设计，主目录【总览、监测、查询、设置、趋势】总览不存在二级目录；2）监测目录为【机柜系统、供电系统、制冷系统、视频系统、门禁管理、资产管理】；3）查询目录为【实时报警、历史报警、事件查询】；4）设置目录为【全局设置、机柜设置、配电设置、UPS设置、电池设置、制冷设置等】其他详见联柜系统界面设计；</t>
    </r>
  </si>
  <si>
    <r>
      <rPr>
        <b/>
        <sz val="11"/>
        <color rgb="FFFF0000"/>
        <rFont val="微软雅黑"/>
        <charset val="134"/>
      </rPr>
      <t>5、开发方案：</t>
    </r>
    <r>
      <rPr>
        <sz val="10"/>
        <rFont val="微软雅黑"/>
        <charset val="134"/>
      </rPr>
      <t>采用10.1英寸触摸屏+库软嵌入式系统方案设计；</t>
    </r>
  </si>
  <si>
    <t xml:space="preserve">联柜监控系统V3.0开发计划表                                                                                                                                                                                                          </t>
  </si>
  <si>
    <t>序号</t>
  </si>
  <si>
    <t>开发阶段</t>
  </si>
  <si>
    <t>主要项目</t>
  </si>
  <si>
    <t>具体工作内容</t>
  </si>
  <si>
    <t>开始时间</t>
  </si>
  <si>
    <t>完成时间</t>
  </si>
  <si>
    <t>预计时间（小时）</t>
  </si>
  <si>
    <t>责任人</t>
  </si>
  <si>
    <t>协助人</t>
  </si>
  <si>
    <t>规划阶段</t>
  </si>
  <si>
    <t>系统逻辑设计</t>
  </si>
  <si>
    <t>1、系统物理连接拓扑图设计；2、主要配置设备的设计；</t>
  </si>
  <si>
    <t>刘文江</t>
  </si>
  <si>
    <t>万凯、林波</t>
  </si>
  <si>
    <t>界面逻辑设计</t>
  </si>
  <si>
    <t>1、界面风格设计；2、界面链接逻辑功能设计；</t>
  </si>
  <si>
    <t>唐文洁</t>
  </si>
  <si>
    <t>驱动逻辑设计</t>
  </si>
  <si>
    <t>1、设备驱动规划及相关逻辑（变量名称）设计</t>
  </si>
  <si>
    <t>报警逻辑设计</t>
  </si>
  <si>
    <t>1、报警逻辑及启停方案设计</t>
  </si>
  <si>
    <t>驱动开发</t>
  </si>
  <si>
    <t>1、SCM模块（包含IO、6个温湿度、40个电池巡检）的驱动开发；</t>
  </si>
  <si>
    <t>李枫</t>
  </si>
  <si>
    <t>2、单相、三相电表协议开发；</t>
  </si>
  <si>
    <t>3、指纹一体锁（1把）驱动开发；</t>
  </si>
  <si>
    <t>4、资产条（12个）驱动开发；</t>
  </si>
  <si>
    <t>5、2台UPS（I类Rs232协议、II类Rs485协议）驱动开发；</t>
  </si>
  <si>
    <t>6、机架式空调（3.5~12.5KW 5台）驱动开发；</t>
  </si>
  <si>
    <t>7、SNMP对外协议开发（采用外协方案）</t>
  </si>
  <si>
    <t>库软</t>
  </si>
  <si>
    <t>8、MQTT对外协议开发（采用外协方案）</t>
  </si>
  <si>
    <t>李景正、库软</t>
  </si>
  <si>
    <t>采用现有的MQTT对外协议</t>
  </si>
  <si>
    <t>9、HTTP对外协议开发（采用外协方案）</t>
  </si>
  <si>
    <t>界面开发</t>
  </si>
  <si>
    <t>1、总览界面开发及模拟测试；</t>
  </si>
  <si>
    <t>唐文洁提供界面框架底图、图标、按钮、素材，刘文江按照协议要求进行组态设计；</t>
  </si>
  <si>
    <t>2、监测项目界面开发及测试：</t>
  </si>
  <si>
    <t>1）机柜系统界面开发及模拟测试；</t>
  </si>
  <si>
    <t>2）单相/三相配电系统界面开发及模拟测试；</t>
  </si>
  <si>
    <t>3）单相/三相UPS系统界面开发及模拟测试；</t>
  </si>
  <si>
    <t>4）电池巡检系统界面开发及模拟测试；</t>
  </si>
  <si>
    <t>5）空调系统界面开发及模拟测试；</t>
  </si>
  <si>
    <t>6）视频及NVR界面开发及模拟测试；</t>
  </si>
  <si>
    <t>7）门禁系统开发及模拟测试；</t>
  </si>
  <si>
    <t>8）资产管理系统开发及模拟测试；</t>
  </si>
  <si>
    <t>3、查询项目界面开发及测试：</t>
  </si>
  <si>
    <t>1）实时报警界面开发及模拟测试；</t>
  </si>
  <si>
    <t>2）历史报警界面开发及模拟测试；</t>
  </si>
  <si>
    <t>3）事件查询界面开发及模拟测试；</t>
  </si>
  <si>
    <t>4、设置项目界面开发及测试：</t>
  </si>
  <si>
    <t>1）机柜系统报警设置界面开发及模拟测试；</t>
  </si>
  <si>
    <t>2）配电系统报警设置界面开发及模拟测试；</t>
  </si>
  <si>
    <t>3）UPS系统报警设置界面开发及模拟测试；</t>
  </si>
  <si>
    <t>4）制冷系统报警设置界面开发及模拟测试；</t>
  </si>
  <si>
    <t>5）全局设置界面开发及模拟测试；</t>
  </si>
  <si>
    <t>6）用户设置界面开发及模拟测试；</t>
  </si>
  <si>
    <t>7）系统设置界面开发及模拟测试；</t>
  </si>
  <si>
    <t>8）微信、邮件、短信报警设置界面开发及模拟测试；</t>
  </si>
  <si>
    <t>5、趋势项目界面开发及测试：</t>
  </si>
  <si>
    <t>1）机柜内部温湿度运行趋势图及测试；</t>
  </si>
  <si>
    <t>2）配电系统电压、频率运行趋势图测试；</t>
  </si>
  <si>
    <t>3）UPS负载运行趋势及测试；</t>
  </si>
  <si>
    <t>4）空调压缩机运行频率趋势及测试；</t>
  </si>
  <si>
    <t>系统逻辑开发</t>
  </si>
  <si>
    <t>1、门禁系统逻辑开发及模拟测试；</t>
  </si>
  <si>
    <t>2、资产系统逻辑开发及模拟测试；</t>
  </si>
  <si>
    <t>3、界面跳转逻辑开发及模拟测试；</t>
  </si>
  <si>
    <t>4、设备通讯启停逻辑开发及模拟测试；</t>
  </si>
  <si>
    <t>5、全局设置逻辑开发及模拟测试；</t>
  </si>
  <si>
    <t>6、趋势逻辑开发及模拟测试；</t>
  </si>
  <si>
    <t>报警策略开发</t>
  </si>
  <si>
    <t>1、机柜报警策略开发及模拟测试；</t>
  </si>
  <si>
    <t>2、配电报警策略开发及模拟测试；</t>
  </si>
  <si>
    <t>3、UPS报警策略开发及模拟测试；</t>
  </si>
  <si>
    <t>4、空调报警策略开发及模拟测试；</t>
  </si>
  <si>
    <t>5、门禁报警策略开发及模拟测试；</t>
  </si>
  <si>
    <t>6、温湿度报警策略开发及模拟测试；</t>
  </si>
  <si>
    <t>7、电池巡检报警策略开发及模拟测试；</t>
  </si>
  <si>
    <t>对外协议开发</t>
  </si>
  <si>
    <t>1、Modbus TCP/IP对外转发协议设计与模拟测试；</t>
  </si>
  <si>
    <t>2、SNMP对外协议转发设计与模拟测试；</t>
  </si>
  <si>
    <t>3、MQTT对外协议转发设计与模拟测试；</t>
  </si>
  <si>
    <t>4、HTTP对外协议转发设计与模拟测试；</t>
  </si>
  <si>
    <t>调试阶段</t>
  </si>
  <si>
    <t>数据显示测试</t>
  </si>
  <si>
    <t>1、空调、UPS、温湿度、CSM、单相三相电量仪表、电池巡测、视频监测、指纹门禁、资产条数据采集及显示正确性测试；</t>
  </si>
  <si>
    <t>品质、调试人员</t>
  </si>
  <si>
    <t>控制测试</t>
  </si>
  <si>
    <t>1、空调、门禁、资产条、SCM控制策略的测试；</t>
  </si>
  <si>
    <t>报警测试</t>
  </si>
  <si>
    <t>1、通讯报警测试；2、驱动数据报警测试；3、系统阀值数据报警测试；4、涉及到每一个报警测试；</t>
  </si>
  <si>
    <t>联合测试</t>
  </si>
  <si>
    <t>1、单总线多设备联合测试（通讯断网及在线测试）；2、系统整体联合测试（多设备整体运行的测试）；</t>
  </si>
  <si>
    <t>长久测试</t>
  </si>
  <si>
    <t>1、长时间通电运行测试；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</si>
</sst>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rgb="FF1D41D5"/>
      <name val="微软雅黑"/>
      <charset val="134"/>
    </font>
    <font>
      <b/>
      <sz val="11"/>
      <color rgb="FFFF0000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sz val="10"/>
      <color rgb="FF0070C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6" applyNumberFormat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5" borderId="16" applyNumberFormat="0" applyAlignment="0" applyProtection="0">
      <alignment vertical="center"/>
    </xf>
    <xf numFmtId="0" fontId="25" fillId="6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left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5" fillId="0" borderId="6" xfId="0" applyNumberFormat="1" applyFont="1" applyBorder="1" applyAlignment="1">
      <alignment horizontal="center" vertical="center" wrapText="1"/>
    </xf>
    <xf numFmtId="0" fontId="7" fillId="0" borderId="7" xfId="0" applyNumberFormat="1" applyFont="1" applyBorder="1" applyAlignment="1">
      <alignment horizontal="center" vertical="center" wrapText="1"/>
    </xf>
    <xf numFmtId="0" fontId="7" fillId="0" borderId="8" xfId="0" applyNumberFormat="1" applyFont="1" applyBorder="1" applyAlignment="1">
      <alignment horizontal="center" vertical="center" wrapText="1"/>
    </xf>
    <xf numFmtId="0" fontId="8" fillId="2" borderId="9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0" fontId="10" fillId="0" borderId="10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0" fontId="10" fillId="0" borderId="11" xfId="0" applyNumberFormat="1" applyFont="1" applyBorder="1" applyAlignment="1">
      <alignment horizontal="center" vertical="center" wrapText="1"/>
    </xf>
    <xf numFmtId="0" fontId="10" fillId="0" borderId="9" xfId="0" applyNumberFormat="1" applyFont="1" applyBorder="1" applyAlignment="1">
      <alignment horizontal="center" vertical="center" wrapText="1"/>
    </xf>
    <xf numFmtId="0" fontId="9" fillId="0" borderId="10" xfId="0" applyNumberFormat="1" applyFont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left" vertical="center" wrapText="1"/>
    </xf>
    <xf numFmtId="0" fontId="9" fillId="0" borderId="1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left" vertical="center"/>
    </xf>
    <xf numFmtId="0" fontId="11" fillId="0" borderId="1" xfId="0" applyNumberFormat="1" applyFont="1" applyBorder="1" applyAlignment="1">
      <alignment horizontal="left" vertical="center" wrapText="1"/>
    </xf>
    <xf numFmtId="0" fontId="12" fillId="0" borderId="1" xfId="0" applyNumberFormat="1" applyFont="1" applyBorder="1" applyAlignment="1">
      <alignment horizontal="left" vertical="center" wrapText="1"/>
    </xf>
    <xf numFmtId="0" fontId="9" fillId="0" borderId="10" xfId="0" applyNumberFormat="1" applyFont="1" applyBorder="1" applyAlignment="1">
      <alignment horizontal="left" vertical="center" wrapText="1"/>
    </xf>
    <xf numFmtId="0" fontId="9" fillId="0" borderId="5" xfId="0" applyNumberFormat="1" applyFont="1" applyBorder="1" applyAlignment="1">
      <alignment horizontal="center" vertical="center" wrapText="1"/>
    </xf>
    <xf numFmtId="0" fontId="9" fillId="0" borderId="9" xfId="0" applyNumberFormat="1" applyFont="1" applyBorder="1" applyAlignment="1">
      <alignment horizontal="left" vertical="center" wrapText="1"/>
    </xf>
    <xf numFmtId="0" fontId="9" fillId="0" borderId="9" xfId="0" applyNumberFormat="1" applyFont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Border="1" applyAlignment="1">
      <alignment horizontal="left" vertical="center" wrapText="1"/>
    </xf>
    <xf numFmtId="0" fontId="7" fillId="0" borderId="12" xfId="0" applyNumberFormat="1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13" fillId="0" borderId="10" xfId="0" applyNumberFormat="1" applyFont="1" applyBorder="1" applyAlignment="1">
      <alignment horizontal="left" vertical="center" wrapText="1"/>
    </xf>
    <xf numFmtId="0" fontId="13" fillId="0" borderId="11" xfId="0" applyNumberFormat="1" applyFont="1" applyBorder="1" applyAlignment="1">
      <alignment horizontal="left" vertical="center" wrapText="1"/>
    </xf>
    <xf numFmtId="0" fontId="13" fillId="0" borderId="6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1D41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1"/>
  <sheetViews>
    <sheetView tabSelected="1" view="pageBreakPreview" zoomScale="85" zoomScaleNormal="100" workbookViewId="0">
      <selection activeCell="D10" sqref="D10"/>
    </sheetView>
  </sheetViews>
  <sheetFormatPr defaultColWidth="9" defaultRowHeight="16.5"/>
  <cols>
    <col min="1" max="1" width="3.75454545454545" style="2" customWidth="1"/>
    <col min="2" max="2" width="5.12727272727273" style="3" customWidth="1"/>
    <col min="3" max="3" width="10.3727272727273" style="3" customWidth="1"/>
    <col min="4" max="4" width="61" style="4" customWidth="1"/>
    <col min="5" max="6" width="13.8727272727273" style="4" customWidth="1"/>
    <col min="7" max="8" width="13.8727272727273" style="2" customWidth="1"/>
    <col min="9" max="9" width="15.1454545454545" style="2" customWidth="1"/>
    <col min="10" max="10" width="11.9090909090909" style="5" customWidth="1"/>
    <col min="11" max="17" width="9" style="3"/>
  </cols>
  <sheetData>
    <row r="1" ht="33" customHeight="1" spans="1:10">
      <c r="A1" s="6" t="s">
        <v>0</v>
      </c>
      <c r="B1" s="7"/>
      <c r="C1" s="7"/>
      <c r="D1" s="8"/>
      <c r="E1" s="8"/>
      <c r="F1" s="8"/>
      <c r="G1" s="7"/>
      <c r="H1" s="7"/>
      <c r="I1" s="7"/>
      <c r="J1" s="7"/>
    </row>
    <row r="2" spans="1:10">
      <c r="A2" s="9" t="s">
        <v>1</v>
      </c>
      <c r="B2" s="10"/>
      <c r="C2" s="11" t="s">
        <v>2</v>
      </c>
      <c r="D2" s="11"/>
      <c r="E2" s="11"/>
      <c r="F2" s="11"/>
      <c r="G2" s="11"/>
      <c r="H2" s="11"/>
      <c r="I2" s="11"/>
      <c r="J2" s="35" t="s">
        <v>3</v>
      </c>
    </row>
    <row r="3" ht="75" customHeight="1" spans="1:10">
      <c r="A3" s="12"/>
      <c r="B3" s="13"/>
      <c r="C3" s="11" t="s">
        <v>4</v>
      </c>
      <c r="D3" s="11"/>
      <c r="E3" s="11"/>
      <c r="F3" s="11"/>
      <c r="G3" s="11"/>
      <c r="H3" s="11"/>
      <c r="I3" s="11"/>
      <c r="J3" s="35"/>
    </row>
    <row r="4" ht="19" customHeight="1" spans="1:10">
      <c r="A4" s="12"/>
      <c r="B4" s="13"/>
      <c r="C4" s="11" t="s">
        <v>5</v>
      </c>
      <c r="D4" s="11"/>
      <c r="E4" s="11"/>
      <c r="F4" s="11"/>
      <c r="G4" s="11"/>
      <c r="H4" s="11"/>
      <c r="I4" s="11"/>
      <c r="J4" s="35"/>
    </row>
    <row r="5" ht="40" customHeight="1" spans="1:10">
      <c r="A5" s="12"/>
      <c r="B5" s="13"/>
      <c r="C5" s="11" t="s">
        <v>6</v>
      </c>
      <c r="D5" s="11"/>
      <c r="E5" s="11"/>
      <c r="F5" s="11"/>
      <c r="G5" s="11"/>
      <c r="H5" s="11"/>
      <c r="I5" s="11"/>
      <c r="J5" s="35"/>
    </row>
    <row r="6" spans="1:10">
      <c r="A6" s="12"/>
      <c r="B6" s="13"/>
      <c r="C6" s="11" t="s">
        <v>7</v>
      </c>
      <c r="D6" s="11"/>
      <c r="E6" s="11"/>
      <c r="F6" s="11"/>
      <c r="G6" s="11"/>
      <c r="H6" s="11"/>
      <c r="I6" s="11"/>
      <c r="J6" s="35"/>
    </row>
    <row r="7" ht="20" spans="1:10">
      <c r="A7" s="14" t="s">
        <v>8</v>
      </c>
      <c r="B7" s="15"/>
      <c r="C7" s="15"/>
      <c r="D7" s="15"/>
      <c r="E7" s="15"/>
      <c r="F7" s="15"/>
      <c r="G7" s="15"/>
      <c r="H7" s="15"/>
      <c r="I7" s="15"/>
      <c r="J7" s="36"/>
    </row>
    <row r="8" ht="33" spans="1:10">
      <c r="A8" s="16" t="s">
        <v>9</v>
      </c>
      <c r="B8" s="16" t="s">
        <v>10</v>
      </c>
      <c r="C8" s="16" t="s">
        <v>11</v>
      </c>
      <c r="D8" s="16" t="s">
        <v>12</v>
      </c>
      <c r="E8" s="16" t="s">
        <v>13</v>
      </c>
      <c r="F8" s="16" t="s">
        <v>14</v>
      </c>
      <c r="G8" s="16" t="s">
        <v>15</v>
      </c>
      <c r="H8" s="16" t="s">
        <v>16</v>
      </c>
      <c r="I8" s="16" t="s">
        <v>17</v>
      </c>
      <c r="J8" s="16" t="s">
        <v>3</v>
      </c>
    </row>
    <row r="9" s="1" customFormat="1" ht="29" spans="1:17">
      <c r="A9" s="17">
        <f>ROW()-MATCH("序号",A:A,)</f>
        <v>1</v>
      </c>
      <c r="B9" s="18" t="s">
        <v>18</v>
      </c>
      <c r="C9" s="17" t="s">
        <v>19</v>
      </c>
      <c r="D9" s="19" t="s">
        <v>20</v>
      </c>
      <c r="E9" s="20">
        <v>44747</v>
      </c>
      <c r="F9" s="20">
        <v>44750</v>
      </c>
      <c r="G9" s="17">
        <f>(F9-E9)*8*0.5</f>
        <v>12</v>
      </c>
      <c r="H9" s="17" t="s">
        <v>21</v>
      </c>
      <c r="I9" s="17" t="s">
        <v>22</v>
      </c>
      <c r="J9" s="35"/>
      <c r="K9" s="37"/>
      <c r="L9" s="37"/>
      <c r="M9" s="37"/>
      <c r="N9" s="37"/>
      <c r="O9" s="37"/>
      <c r="P9" s="37"/>
      <c r="Q9" s="37"/>
    </row>
    <row r="10" s="1" customFormat="1" ht="29" spans="1:17">
      <c r="A10" s="17">
        <f>ROW()-MATCH("序号",A:A,)</f>
        <v>2</v>
      </c>
      <c r="B10" s="21"/>
      <c r="C10" s="17" t="s">
        <v>23</v>
      </c>
      <c r="D10" s="19" t="s">
        <v>24</v>
      </c>
      <c r="E10" s="20">
        <v>44740</v>
      </c>
      <c r="F10" s="20">
        <v>44751</v>
      </c>
      <c r="G10" s="17">
        <f t="shared" ref="G10:G22" si="0">(F10-E10)*8*0.5</f>
        <v>44</v>
      </c>
      <c r="H10" s="17" t="s">
        <v>21</v>
      </c>
      <c r="I10" s="17" t="s">
        <v>25</v>
      </c>
      <c r="J10" s="35"/>
      <c r="K10" s="37"/>
      <c r="L10" s="37"/>
      <c r="M10" s="37"/>
      <c r="N10" s="37"/>
      <c r="O10" s="37"/>
      <c r="P10" s="37"/>
      <c r="Q10" s="37"/>
    </row>
    <row r="11" s="1" customFormat="1" ht="29" spans="1:17">
      <c r="A11" s="17">
        <f t="shared" ref="A11:A42" si="1">ROW()-MATCH("序号",A:A,)</f>
        <v>3</v>
      </c>
      <c r="B11" s="21"/>
      <c r="C11" s="17" t="s">
        <v>26</v>
      </c>
      <c r="D11" s="19" t="s">
        <v>27</v>
      </c>
      <c r="E11" s="20">
        <v>44752</v>
      </c>
      <c r="F11" s="20">
        <v>44755</v>
      </c>
      <c r="G11" s="17">
        <f t="shared" si="0"/>
        <v>12</v>
      </c>
      <c r="H11" s="17" t="s">
        <v>21</v>
      </c>
      <c r="I11" s="17" t="s">
        <v>21</v>
      </c>
      <c r="J11" s="35"/>
      <c r="K11" s="37"/>
      <c r="L11" s="37"/>
      <c r="M11" s="37"/>
      <c r="N11" s="37"/>
      <c r="O11" s="37"/>
      <c r="P11" s="37"/>
      <c r="Q11" s="37"/>
    </row>
    <row r="12" s="1" customFormat="1" ht="29" spans="1:17">
      <c r="A12" s="17">
        <f t="shared" si="1"/>
        <v>4</v>
      </c>
      <c r="B12" s="22"/>
      <c r="C12" s="17" t="s">
        <v>28</v>
      </c>
      <c r="D12" s="19" t="s">
        <v>29</v>
      </c>
      <c r="E12" s="20">
        <v>44754</v>
      </c>
      <c r="F12" s="20">
        <v>44755</v>
      </c>
      <c r="G12" s="17">
        <f t="shared" si="0"/>
        <v>4</v>
      </c>
      <c r="H12" s="17" t="s">
        <v>21</v>
      </c>
      <c r="I12" s="17" t="s">
        <v>21</v>
      </c>
      <c r="J12" s="35"/>
      <c r="K12" s="37"/>
      <c r="L12" s="37"/>
      <c r="M12" s="37"/>
      <c r="N12" s="37"/>
      <c r="O12" s="37"/>
      <c r="P12" s="37"/>
      <c r="Q12" s="37"/>
    </row>
    <row r="13" s="1" customFormat="1" ht="14.5" spans="1:17">
      <c r="A13" s="17">
        <f t="shared" si="1"/>
        <v>5</v>
      </c>
      <c r="B13" s="22" t="s">
        <v>10</v>
      </c>
      <c r="C13" s="23" t="s">
        <v>30</v>
      </c>
      <c r="D13" s="19" t="s">
        <v>31</v>
      </c>
      <c r="E13" s="24">
        <v>44752</v>
      </c>
      <c r="F13" s="20">
        <v>44754</v>
      </c>
      <c r="G13" s="17">
        <f t="shared" si="0"/>
        <v>8</v>
      </c>
      <c r="H13" s="17" t="s">
        <v>21</v>
      </c>
      <c r="I13" s="17" t="s">
        <v>32</v>
      </c>
      <c r="J13" s="35"/>
      <c r="K13" s="37"/>
      <c r="L13" s="37"/>
      <c r="M13" s="37"/>
      <c r="N13" s="37"/>
      <c r="O13" s="37"/>
      <c r="P13" s="37"/>
      <c r="Q13" s="37"/>
    </row>
    <row r="14" s="1" customFormat="1" ht="14.5" spans="1:17">
      <c r="A14" s="17">
        <f t="shared" si="1"/>
        <v>6</v>
      </c>
      <c r="B14" s="22"/>
      <c r="C14" s="25"/>
      <c r="D14" s="19" t="s">
        <v>33</v>
      </c>
      <c r="E14" s="24">
        <v>44755</v>
      </c>
      <c r="F14" s="20">
        <v>44757</v>
      </c>
      <c r="G14" s="17">
        <f t="shared" si="0"/>
        <v>8</v>
      </c>
      <c r="H14" s="17" t="s">
        <v>21</v>
      </c>
      <c r="I14" s="17" t="s">
        <v>21</v>
      </c>
      <c r="J14" s="35"/>
      <c r="K14" s="37"/>
      <c r="L14" s="37"/>
      <c r="M14" s="37"/>
      <c r="N14" s="37"/>
      <c r="O14" s="37"/>
      <c r="P14" s="37"/>
      <c r="Q14" s="37"/>
    </row>
    <row r="15" s="1" customFormat="1" ht="14.5" spans="1:17">
      <c r="A15" s="17">
        <f t="shared" si="1"/>
        <v>7</v>
      </c>
      <c r="B15" s="22"/>
      <c r="C15" s="25"/>
      <c r="D15" s="19" t="s">
        <v>34</v>
      </c>
      <c r="E15" s="24">
        <v>44753</v>
      </c>
      <c r="F15" s="20">
        <v>44758</v>
      </c>
      <c r="G15" s="17">
        <f t="shared" si="0"/>
        <v>20</v>
      </c>
      <c r="H15" s="17" t="s">
        <v>21</v>
      </c>
      <c r="I15" s="17" t="s">
        <v>21</v>
      </c>
      <c r="J15" s="35"/>
      <c r="K15" s="37"/>
      <c r="L15" s="37"/>
      <c r="M15" s="37"/>
      <c r="N15" s="37"/>
      <c r="O15" s="37"/>
      <c r="P15" s="37"/>
      <c r="Q15" s="37"/>
    </row>
    <row r="16" s="1" customFormat="1" ht="14.5" spans="1:17">
      <c r="A16" s="17">
        <f t="shared" si="1"/>
        <v>8</v>
      </c>
      <c r="B16" s="22"/>
      <c r="C16" s="25"/>
      <c r="D16" s="19" t="s">
        <v>35</v>
      </c>
      <c r="E16" s="24">
        <v>44754</v>
      </c>
      <c r="F16" s="20">
        <v>44758</v>
      </c>
      <c r="G16" s="17">
        <f t="shared" si="0"/>
        <v>16</v>
      </c>
      <c r="H16" s="17" t="s">
        <v>21</v>
      </c>
      <c r="I16" s="17" t="s">
        <v>21</v>
      </c>
      <c r="J16" s="35"/>
      <c r="K16" s="37"/>
      <c r="L16" s="37"/>
      <c r="M16" s="37"/>
      <c r="N16" s="37"/>
      <c r="O16" s="37"/>
      <c r="P16" s="37"/>
      <c r="Q16" s="37"/>
    </row>
    <row r="17" s="1" customFormat="1" ht="14.5" spans="1:17">
      <c r="A17" s="17">
        <f t="shared" si="1"/>
        <v>9</v>
      </c>
      <c r="B17" s="22"/>
      <c r="C17" s="25"/>
      <c r="D17" s="19" t="s">
        <v>36</v>
      </c>
      <c r="E17" s="24">
        <v>44754</v>
      </c>
      <c r="F17" s="20">
        <v>44759</v>
      </c>
      <c r="G17" s="17">
        <f t="shared" si="0"/>
        <v>20</v>
      </c>
      <c r="H17" s="17" t="s">
        <v>21</v>
      </c>
      <c r="I17" s="17" t="s">
        <v>21</v>
      </c>
      <c r="J17" s="35"/>
      <c r="K17" s="37"/>
      <c r="L17" s="37"/>
      <c r="M17" s="37"/>
      <c r="N17" s="37"/>
      <c r="O17" s="37"/>
      <c r="P17" s="37"/>
      <c r="Q17" s="37"/>
    </row>
    <row r="18" s="1" customFormat="1" ht="14.5" spans="1:17">
      <c r="A18" s="17">
        <f t="shared" si="1"/>
        <v>10</v>
      </c>
      <c r="B18" s="22"/>
      <c r="C18" s="25"/>
      <c r="D18" s="19" t="s">
        <v>37</v>
      </c>
      <c r="E18" s="24">
        <v>44754</v>
      </c>
      <c r="F18" s="20">
        <v>44759</v>
      </c>
      <c r="G18" s="17">
        <f t="shared" si="0"/>
        <v>20</v>
      </c>
      <c r="H18" s="17" t="s">
        <v>21</v>
      </c>
      <c r="I18" s="17" t="s">
        <v>21</v>
      </c>
      <c r="J18" s="35"/>
      <c r="K18" s="37"/>
      <c r="L18" s="37"/>
      <c r="M18" s="37"/>
      <c r="N18" s="37"/>
      <c r="O18" s="37"/>
      <c r="P18" s="37"/>
      <c r="Q18" s="37"/>
    </row>
    <row r="19" s="1" customFormat="1" ht="14.5" spans="1:17">
      <c r="A19" s="17">
        <f t="shared" si="1"/>
        <v>11</v>
      </c>
      <c r="B19" s="22"/>
      <c r="C19" s="25"/>
      <c r="D19" s="19" t="s">
        <v>38</v>
      </c>
      <c r="E19" s="24">
        <v>44757</v>
      </c>
      <c r="F19" s="24">
        <v>44803</v>
      </c>
      <c r="G19" s="17">
        <f t="shared" si="0"/>
        <v>184</v>
      </c>
      <c r="H19" s="17" t="s">
        <v>21</v>
      </c>
      <c r="I19" s="17" t="s">
        <v>39</v>
      </c>
      <c r="J19" s="35"/>
      <c r="K19" s="37"/>
      <c r="L19" s="37"/>
      <c r="M19" s="37"/>
      <c r="N19" s="37"/>
      <c r="O19" s="37"/>
      <c r="P19" s="37"/>
      <c r="Q19" s="37"/>
    </row>
    <row r="20" s="1" customFormat="1" ht="43.5" spans="1:17">
      <c r="A20" s="17">
        <f t="shared" si="1"/>
        <v>12</v>
      </c>
      <c r="B20" s="22"/>
      <c r="C20" s="25"/>
      <c r="D20" s="19" t="s">
        <v>40</v>
      </c>
      <c r="E20" s="24">
        <v>44757</v>
      </c>
      <c r="F20" s="26">
        <v>44772</v>
      </c>
      <c r="G20" s="17">
        <f t="shared" si="0"/>
        <v>60</v>
      </c>
      <c r="H20" s="17" t="s">
        <v>21</v>
      </c>
      <c r="I20" s="17" t="s">
        <v>41</v>
      </c>
      <c r="J20" s="35" t="s">
        <v>42</v>
      </c>
      <c r="K20" s="37"/>
      <c r="L20" s="37"/>
      <c r="M20" s="37"/>
      <c r="N20" s="37"/>
      <c r="O20" s="37"/>
      <c r="P20" s="37"/>
      <c r="Q20" s="37"/>
    </row>
    <row r="21" s="1" customFormat="1" ht="14.5" spans="1:17">
      <c r="A21" s="17">
        <f t="shared" si="1"/>
        <v>13</v>
      </c>
      <c r="B21" s="22"/>
      <c r="C21" s="25"/>
      <c r="D21" s="19" t="s">
        <v>43</v>
      </c>
      <c r="E21" s="24">
        <v>44788</v>
      </c>
      <c r="F21" s="24">
        <v>44834</v>
      </c>
      <c r="G21" s="17">
        <f t="shared" si="0"/>
        <v>184</v>
      </c>
      <c r="H21" s="17" t="s">
        <v>21</v>
      </c>
      <c r="I21" s="17" t="s">
        <v>41</v>
      </c>
      <c r="J21" s="35"/>
      <c r="K21" s="37"/>
      <c r="L21" s="37"/>
      <c r="M21" s="37"/>
      <c r="N21" s="37"/>
      <c r="O21" s="37"/>
      <c r="P21" s="37"/>
      <c r="Q21" s="37"/>
    </row>
    <row r="22" s="1" customFormat="1" ht="14.5" spans="1:17">
      <c r="A22" s="17">
        <f t="shared" si="1"/>
        <v>14</v>
      </c>
      <c r="B22" s="22"/>
      <c r="C22" s="23" t="s">
        <v>44</v>
      </c>
      <c r="D22" s="27" t="s">
        <v>45</v>
      </c>
      <c r="E22" s="24">
        <v>44747</v>
      </c>
      <c r="F22" s="24">
        <v>44748</v>
      </c>
      <c r="G22" s="17">
        <f t="shared" si="0"/>
        <v>4</v>
      </c>
      <c r="H22" s="17" t="s">
        <v>21</v>
      </c>
      <c r="I22" s="17" t="s">
        <v>25</v>
      </c>
      <c r="J22" s="38" t="s">
        <v>46</v>
      </c>
      <c r="K22" s="37"/>
      <c r="L22" s="37"/>
      <c r="M22" s="37"/>
      <c r="N22" s="37"/>
      <c r="O22" s="37"/>
      <c r="P22" s="37"/>
      <c r="Q22" s="37"/>
    </row>
    <row r="23" s="1" customFormat="1" ht="14.5" spans="1:17">
      <c r="A23" s="17">
        <f t="shared" si="1"/>
        <v>15</v>
      </c>
      <c r="B23" s="22"/>
      <c r="C23" s="25"/>
      <c r="D23" s="27" t="s">
        <v>47</v>
      </c>
      <c r="E23" s="27"/>
      <c r="F23" s="27"/>
      <c r="G23" s="17"/>
      <c r="H23" s="17" t="s">
        <v>21</v>
      </c>
      <c r="I23" s="17" t="s">
        <v>25</v>
      </c>
      <c r="J23" s="39"/>
      <c r="K23" s="37"/>
      <c r="L23" s="37"/>
      <c r="M23" s="37"/>
      <c r="N23" s="37"/>
      <c r="O23" s="37"/>
      <c r="P23" s="37"/>
      <c r="Q23" s="37"/>
    </row>
    <row r="24" s="1" customFormat="1" ht="14.5" spans="1:17">
      <c r="A24" s="17">
        <f t="shared" si="1"/>
        <v>16</v>
      </c>
      <c r="B24" s="22"/>
      <c r="C24" s="25"/>
      <c r="D24" s="28" t="s">
        <v>48</v>
      </c>
      <c r="E24" s="24">
        <v>44749</v>
      </c>
      <c r="F24" s="24">
        <v>44750</v>
      </c>
      <c r="G24" s="17">
        <f t="shared" ref="G23:G37" si="2">(F24-E24)*8*0.5</f>
        <v>4</v>
      </c>
      <c r="H24" s="17" t="s">
        <v>21</v>
      </c>
      <c r="I24" s="17" t="s">
        <v>25</v>
      </c>
      <c r="J24" s="39"/>
      <c r="K24" s="37"/>
      <c r="L24" s="37"/>
      <c r="M24" s="37"/>
      <c r="N24" s="37"/>
      <c r="O24" s="37"/>
      <c r="P24" s="37"/>
      <c r="Q24" s="37"/>
    </row>
    <row r="25" s="1" customFormat="1" ht="14.5" spans="1:17">
      <c r="A25" s="17">
        <f t="shared" si="1"/>
        <v>17</v>
      </c>
      <c r="B25" s="22"/>
      <c r="C25" s="25"/>
      <c r="D25" s="28" t="s">
        <v>49</v>
      </c>
      <c r="E25" s="24">
        <v>44750</v>
      </c>
      <c r="F25" s="24">
        <v>44751</v>
      </c>
      <c r="G25" s="17">
        <f t="shared" si="2"/>
        <v>4</v>
      </c>
      <c r="H25" s="17" t="s">
        <v>21</v>
      </c>
      <c r="I25" s="17" t="s">
        <v>25</v>
      </c>
      <c r="J25" s="39"/>
      <c r="K25" s="37"/>
      <c r="L25" s="37"/>
      <c r="M25" s="37"/>
      <c r="N25" s="37"/>
      <c r="O25" s="37"/>
      <c r="P25" s="37"/>
      <c r="Q25" s="37"/>
    </row>
    <row r="26" s="1" customFormat="1" ht="14.5" spans="1:17">
      <c r="A26" s="17">
        <f t="shared" si="1"/>
        <v>18</v>
      </c>
      <c r="B26" s="22"/>
      <c r="C26" s="25"/>
      <c r="D26" s="28" t="s">
        <v>50</v>
      </c>
      <c r="E26" s="24">
        <v>44750</v>
      </c>
      <c r="F26" s="24">
        <v>44752</v>
      </c>
      <c r="G26" s="17">
        <f t="shared" si="2"/>
        <v>8</v>
      </c>
      <c r="H26" s="17" t="s">
        <v>21</v>
      </c>
      <c r="I26" s="17" t="s">
        <v>25</v>
      </c>
      <c r="J26" s="39"/>
      <c r="K26" s="37"/>
      <c r="L26" s="37"/>
      <c r="M26" s="37"/>
      <c r="N26" s="37"/>
      <c r="O26" s="37"/>
      <c r="P26" s="37"/>
      <c r="Q26" s="37"/>
    </row>
    <row r="27" s="1" customFormat="1" ht="14.5" spans="1:17">
      <c r="A27" s="17">
        <f t="shared" si="1"/>
        <v>19</v>
      </c>
      <c r="B27" s="22"/>
      <c r="C27" s="25"/>
      <c r="D27" s="28" t="s">
        <v>51</v>
      </c>
      <c r="E27" s="24">
        <v>44751</v>
      </c>
      <c r="F27" s="24">
        <v>44752</v>
      </c>
      <c r="G27" s="17">
        <f t="shared" si="2"/>
        <v>4</v>
      </c>
      <c r="H27" s="17" t="s">
        <v>21</v>
      </c>
      <c r="I27" s="17" t="s">
        <v>25</v>
      </c>
      <c r="J27" s="39"/>
      <c r="K27" s="37"/>
      <c r="L27" s="37"/>
      <c r="M27" s="37"/>
      <c r="N27" s="37"/>
      <c r="O27" s="37"/>
      <c r="P27" s="37"/>
      <c r="Q27" s="37"/>
    </row>
    <row r="28" s="1" customFormat="1" ht="14.5" spans="1:17">
      <c r="A28" s="17">
        <f t="shared" si="1"/>
        <v>20</v>
      </c>
      <c r="B28" s="22"/>
      <c r="C28" s="25"/>
      <c r="D28" s="28" t="s">
        <v>52</v>
      </c>
      <c r="E28" s="24">
        <v>44752</v>
      </c>
      <c r="F28" s="24">
        <v>44753</v>
      </c>
      <c r="G28" s="17">
        <f t="shared" si="2"/>
        <v>4</v>
      </c>
      <c r="H28" s="17" t="s">
        <v>21</v>
      </c>
      <c r="I28" s="17" t="s">
        <v>25</v>
      </c>
      <c r="J28" s="39"/>
      <c r="K28" s="37"/>
      <c r="L28" s="37"/>
      <c r="M28" s="37"/>
      <c r="N28" s="37"/>
      <c r="O28" s="37"/>
      <c r="P28" s="37"/>
      <c r="Q28" s="37"/>
    </row>
    <row r="29" s="1" customFormat="1" ht="14.5" spans="1:17">
      <c r="A29" s="17">
        <f t="shared" si="1"/>
        <v>21</v>
      </c>
      <c r="B29" s="22"/>
      <c r="C29" s="25"/>
      <c r="D29" s="28" t="s">
        <v>53</v>
      </c>
      <c r="E29" s="24">
        <v>44753</v>
      </c>
      <c r="F29" s="24">
        <v>44754</v>
      </c>
      <c r="G29" s="17">
        <f t="shared" si="2"/>
        <v>4</v>
      </c>
      <c r="H29" s="17" t="s">
        <v>21</v>
      </c>
      <c r="I29" s="17" t="s">
        <v>25</v>
      </c>
      <c r="J29" s="39"/>
      <c r="K29" s="37"/>
      <c r="L29" s="37"/>
      <c r="M29" s="37"/>
      <c r="N29" s="37"/>
      <c r="O29" s="37"/>
      <c r="P29" s="37"/>
      <c r="Q29" s="37"/>
    </row>
    <row r="30" s="1" customFormat="1" ht="14.5" spans="1:17">
      <c r="A30" s="17">
        <f t="shared" si="1"/>
        <v>22</v>
      </c>
      <c r="B30" s="22"/>
      <c r="C30" s="25"/>
      <c r="D30" s="28" t="s">
        <v>54</v>
      </c>
      <c r="E30" s="24">
        <v>44754</v>
      </c>
      <c r="F30" s="24">
        <v>44755</v>
      </c>
      <c r="G30" s="17">
        <f t="shared" si="2"/>
        <v>4</v>
      </c>
      <c r="H30" s="17" t="s">
        <v>21</v>
      </c>
      <c r="I30" s="17" t="s">
        <v>25</v>
      </c>
      <c r="J30" s="39"/>
      <c r="K30" s="37"/>
      <c r="L30" s="37"/>
      <c r="M30" s="37"/>
      <c r="N30" s="37"/>
      <c r="O30" s="37"/>
      <c r="P30" s="37"/>
      <c r="Q30" s="37"/>
    </row>
    <row r="31" s="1" customFormat="1" ht="14.5" spans="1:17">
      <c r="A31" s="17">
        <f t="shared" si="1"/>
        <v>23</v>
      </c>
      <c r="B31" s="22"/>
      <c r="C31" s="25"/>
      <c r="D31" s="19" t="s">
        <v>55</v>
      </c>
      <c r="E31" s="24">
        <v>44757</v>
      </c>
      <c r="F31" s="24">
        <v>44762</v>
      </c>
      <c r="G31" s="17">
        <f t="shared" si="2"/>
        <v>20</v>
      </c>
      <c r="H31" s="17" t="s">
        <v>21</v>
      </c>
      <c r="I31" s="17" t="s">
        <v>25</v>
      </c>
      <c r="J31" s="39"/>
      <c r="K31" s="37"/>
      <c r="L31" s="37"/>
      <c r="M31" s="37"/>
      <c r="N31" s="37"/>
      <c r="O31" s="37"/>
      <c r="P31" s="37"/>
      <c r="Q31" s="37"/>
    </row>
    <row r="32" s="1" customFormat="1" ht="14.5" spans="1:17">
      <c r="A32" s="17">
        <f t="shared" si="1"/>
        <v>24</v>
      </c>
      <c r="B32" s="22"/>
      <c r="C32" s="25"/>
      <c r="D32" s="27" t="s">
        <v>56</v>
      </c>
      <c r="E32" s="19"/>
      <c r="F32" s="19"/>
      <c r="G32" s="17">
        <f t="shared" si="2"/>
        <v>0</v>
      </c>
      <c r="H32" s="17" t="s">
        <v>21</v>
      </c>
      <c r="I32" s="17" t="s">
        <v>25</v>
      </c>
      <c r="J32" s="39"/>
      <c r="K32" s="37"/>
      <c r="L32" s="37"/>
      <c r="M32" s="37"/>
      <c r="N32" s="37"/>
      <c r="O32" s="37"/>
      <c r="P32" s="37"/>
      <c r="Q32" s="37"/>
    </row>
    <row r="33" s="1" customFormat="1" ht="14.5" spans="1:17">
      <c r="A33" s="17">
        <f t="shared" si="1"/>
        <v>25</v>
      </c>
      <c r="B33" s="22"/>
      <c r="C33" s="25"/>
      <c r="D33" s="19" t="s">
        <v>57</v>
      </c>
      <c r="E33" s="24">
        <v>44759</v>
      </c>
      <c r="F33" s="24">
        <v>44760</v>
      </c>
      <c r="G33" s="17">
        <f t="shared" si="2"/>
        <v>4</v>
      </c>
      <c r="H33" s="17" t="s">
        <v>21</v>
      </c>
      <c r="I33" s="17" t="s">
        <v>25</v>
      </c>
      <c r="J33" s="39"/>
      <c r="K33" s="37"/>
      <c r="L33" s="37"/>
      <c r="M33" s="37"/>
      <c r="N33" s="37"/>
      <c r="O33" s="37"/>
      <c r="P33" s="37"/>
      <c r="Q33" s="37"/>
    </row>
    <row r="34" s="1" customFormat="1" ht="14.5" spans="1:17">
      <c r="A34" s="17">
        <f t="shared" si="1"/>
        <v>26</v>
      </c>
      <c r="B34" s="22"/>
      <c r="C34" s="25"/>
      <c r="D34" s="19" t="s">
        <v>58</v>
      </c>
      <c r="E34" s="24">
        <v>44759</v>
      </c>
      <c r="F34" s="24">
        <v>44760</v>
      </c>
      <c r="G34" s="17">
        <f t="shared" si="2"/>
        <v>4</v>
      </c>
      <c r="H34" s="17" t="s">
        <v>21</v>
      </c>
      <c r="I34" s="17" t="s">
        <v>25</v>
      </c>
      <c r="J34" s="39"/>
      <c r="K34" s="37"/>
      <c r="L34" s="37"/>
      <c r="M34" s="37"/>
      <c r="N34" s="37"/>
      <c r="O34" s="37"/>
      <c r="P34" s="37"/>
      <c r="Q34" s="37"/>
    </row>
    <row r="35" s="1" customFormat="1" ht="14.5" spans="1:17">
      <c r="A35" s="17">
        <f t="shared" si="1"/>
        <v>27</v>
      </c>
      <c r="B35" s="22"/>
      <c r="C35" s="25"/>
      <c r="D35" s="19" t="s">
        <v>59</v>
      </c>
      <c r="E35" s="24">
        <v>44759</v>
      </c>
      <c r="F35" s="24">
        <v>44760</v>
      </c>
      <c r="G35" s="17">
        <f t="shared" si="2"/>
        <v>4</v>
      </c>
      <c r="H35" s="17" t="s">
        <v>21</v>
      </c>
      <c r="I35" s="17" t="s">
        <v>25</v>
      </c>
      <c r="J35" s="39"/>
      <c r="K35" s="37"/>
      <c r="L35" s="37"/>
      <c r="M35" s="37"/>
      <c r="N35" s="37"/>
      <c r="O35" s="37"/>
      <c r="P35" s="37"/>
      <c r="Q35" s="37"/>
    </row>
    <row r="36" s="1" customFormat="1" ht="14.5" spans="1:17">
      <c r="A36" s="17">
        <f t="shared" si="1"/>
        <v>28</v>
      </c>
      <c r="B36" s="22"/>
      <c r="C36" s="25"/>
      <c r="D36" s="27" t="s">
        <v>60</v>
      </c>
      <c r="E36" s="19"/>
      <c r="F36" s="19"/>
      <c r="G36" s="17">
        <f t="shared" si="2"/>
        <v>0</v>
      </c>
      <c r="H36" s="17" t="s">
        <v>21</v>
      </c>
      <c r="I36" s="17" t="s">
        <v>25</v>
      </c>
      <c r="J36" s="39"/>
      <c r="K36" s="37"/>
      <c r="L36" s="37"/>
      <c r="M36" s="37"/>
      <c r="N36" s="37"/>
      <c r="O36" s="37"/>
      <c r="P36" s="37"/>
      <c r="Q36" s="37"/>
    </row>
    <row r="37" s="1" customFormat="1" ht="14.5" spans="1:17">
      <c r="A37" s="17">
        <f t="shared" si="1"/>
        <v>29</v>
      </c>
      <c r="B37" s="22"/>
      <c r="C37" s="25"/>
      <c r="D37" s="19" t="s">
        <v>61</v>
      </c>
      <c r="E37" s="24">
        <v>44765</v>
      </c>
      <c r="F37" s="24">
        <v>44766</v>
      </c>
      <c r="G37" s="17">
        <f t="shared" si="2"/>
        <v>4</v>
      </c>
      <c r="H37" s="17" t="s">
        <v>21</v>
      </c>
      <c r="I37" s="17" t="s">
        <v>25</v>
      </c>
      <c r="J37" s="39"/>
      <c r="K37" s="37"/>
      <c r="L37" s="37"/>
      <c r="M37" s="37"/>
      <c r="N37" s="37"/>
      <c r="O37" s="37"/>
      <c r="P37" s="37"/>
      <c r="Q37" s="37"/>
    </row>
    <row r="38" s="1" customFormat="1" ht="14.5" spans="1:17">
      <c r="A38" s="17">
        <f t="shared" si="1"/>
        <v>30</v>
      </c>
      <c r="B38" s="22"/>
      <c r="C38" s="25"/>
      <c r="D38" s="19" t="s">
        <v>62</v>
      </c>
      <c r="E38" s="24">
        <v>44767</v>
      </c>
      <c r="F38" s="24">
        <v>44768</v>
      </c>
      <c r="G38" s="17">
        <f t="shared" ref="G38:G48" si="3">(F38-E38)*8*0.5</f>
        <v>4</v>
      </c>
      <c r="H38" s="17" t="s">
        <v>21</v>
      </c>
      <c r="I38" s="17" t="s">
        <v>25</v>
      </c>
      <c r="J38" s="39"/>
      <c r="K38" s="37"/>
      <c r="L38" s="37"/>
      <c r="M38" s="37"/>
      <c r="N38" s="37"/>
      <c r="O38" s="37"/>
      <c r="P38" s="37"/>
      <c r="Q38" s="37"/>
    </row>
    <row r="39" s="1" customFormat="1" ht="14.5" spans="1:17">
      <c r="A39" s="17">
        <f t="shared" si="1"/>
        <v>31</v>
      </c>
      <c r="B39" s="22"/>
      <c r="C39" s="25"/>
      <c r="D39" s="19" t="s">
        <v>63</v>
      </c>
      <c r="E39" s="24">
        <v>44769</v>
      </c>
      <c r="F39" s="24">
        <v>44770</v>
      </c>
      <c r="G39" s="17">
        <f t="shared" si="3"/>
        <v>4</v>
      </c>
      <c r="H39" s="17" t="s">
        <v>21</v>
      </c>
      <c r="I39" s="17" t="s">
        <v>25</v>
      </c>
      <c r="J39" s="39"/>
      <c r="K39" s="37"/>
      <c r="L39" s="37"/>
      <c r="M39" s="37"/>
      <c r="N39" s="37"/>
      <c r="O39" s="37"/>
      <c r="P39" s="37"/>
      <c r="Q39" s="37"/>
    </row>
    <row r="40" s="1" customFormat="1" ht="14.5" spans="1:17">
      <c r="A40" s="17">
        <f t="shared" si="1"/>
        <v>32</v>
      </c>
      <c r="B40" s="22"/>
      <c r="C40" s="25"/>
      <c r="D40" s="19" t="s">
        <v>64</v>
      </c>
      <c r="E40" s="24">
        <v>44771</v>
      </c>
      <c r="F40" s="24">
        <v>44772</v>
      </c>
      <c r="G40" s="17">
        <f t="shared" si="3"/>
        <v>4</v>
      </c>
      <c r="H40" s="17" t="s">
        <v>21</v>
      </c>
      <c r="I40" s="17" t="s">
        <v>25</v>
      </c>
      <c r="J40" s="39"/>
      <c r="K40" s="37"/>
      <c r="L40" s="37"/>
      <c r="M40" s="37"/>
      <c r="N40" s="37"/>
      <c r="O40" s="37"/>
      <c r="P40" s="37"/>
      <c r="Q40" s="37"/>
    </row>
    <row r="41" s="1" customFormat="1" ht="14.5" spans="1:17">
      <c r="A41" s="17">
        <f t="shared" si="1"/>
        <v>33</v>
      </c>
      <c r="B41" s="22"/>
      <c r="C41" s="25"/>
      <c r="D41" s="19" t="s">
        <v>65</v>
      </c>
      <c r="E41" s="24">
        <v>44773</v>
      </c>
      <c r="F41" s="24">
        <v>44774</v>
      </c>
      <c r="G41" s="17">
        <f t="shared" si="3"/>
        <v>4</v>
      </c>
      <c r="H41" s="17" t="s">
        <v>21</v>
      </c>
      <c r="I41" s="17" t="s">
        <v>25</v>
      </c>
      <c r="J41" s="39"/>
      <c r="K41" s="37"/>
      <c r="L41" s="37"/>
      <c r="M41" s="37"/>
      <c r="N41" s="37"/>
      <c r="O41" s="37"/>
      <c r="P41" s="37"/>
      <c r="Q41" s="37"/>
    </row>
    <row r="42" s="1" customFormat="1" ht="14.5" spans="1:17">
      <c r="A42" s="17">
        <f t="shared" si="1"/>
        <v>34</v>
      </c>
      <c r="B42" s="22"/>
      <c r="C42" s="25"/>
      <c r="D42" s="19" t="s">
        <v>66</v>
      </c>
      <c r="E42" s="24">
        <v>44774</v>
      </c>
      <c r="F42" s="24">
        <v>44775</v>
      </c>
      <c r="G42" s="17">
        <f t="shared" si="3"/>
        <v>4</v>
      </c>
      <c r="H42" s="17" t="s">
        <v>21</v>
      </c>
      <c r="I42" s="17" t="s">
        <v>25</v>
      </c>
      <c r="J42" s="39"/>
      <c r="K42" s="37"/>
      <c r="L42" s="37"/>
      <c r="M42" s="37"/>
      <c r="N42" s="37"/>
      <c r="O42" s="37"/>
      <c r="P42" s="37"/>
      <c r="Q42" s="37"/>
    </row>
    <row r="43" s="1" customFormat="1" ht="14.5" spans="1:17">
      <c r="A43" s="17">
        <f t="shared" ref="A43:A71" si="4">ROW()-MATCH("序号",A:A,)</f>
        <v>35</v>
      </c>
      <c r="B43" s="22"/>
      <c r="C43" s="25"/>
      <c r="D43" s="29" t="s">
        <v>67</v>
      </c>
      <c r="E43" s="24">
        <v>44774</v>
      </c>
      <c r="F43" s="24">
        <v>44775</v>
      </c>
      <c r="G43" s="17">
        <f t="shared" si="3"/>
        <v>4</v>
      </c>
      <c r="H43" s="17" t="s">
        <v>21</v>
      </c>
      <c r="I43" s="17" t="s">
        <v>25</v>
      </c>
      <c r="J43" s="39"/>
      <c r="K43" s="37"/>
      <c r="L43" s="37"/>
      <c r="M43" s="37"/>
      <c r="N43" s="37"/>
      <c r="O43" s="37"/>
      <c r="P43" s="37"/>
      <c r="Q43" s="37"/>
    </row>
    <row r="44" s="1" customFormat="1" ht="14.5" spans="1:17">
      <c r="A44" s="17">
        <f t="shared" si="4"/>
        <v>36</v>
      </c>
      <c r="B44" s="22"/>
      <c r="C44" s="25"/>
      <c r="D44" s="29" t="s">
        <v>68</v>
      </c>
      <c r="E44" s="24">
        <v>44775</v>
      </c>
      <c r="F44" s="24">
        <v>44776</v>
      </c>
      <c r="G44" s="23">
        <f t="shared" si="3"/>
        <v>4</v>
      </c>
      <c r="H44" s="23" t="s">
        <v>21</v>
      </c>
      <c r="I44" s="23" t="s">
        <v>25</v>
      </c>
      <c r="J44" s="39"/>
      <c r="K44" s="37"/>
      <c r="L44" s="37"/>
      <c r="M44" s="37"/>
      <c r="N44" s="37"/>
      <c r="O44" s="37"/>
      <c r="P44" s="37"/>
      <c r="Q44" s="37"/>
    </row>
    <row r="45" s="1" customFormat="1" ht="14.5" spans="1:17">
      <c r="A45" s="17">
        <f t="shared" si="4"/>
        <v>37</v>
      </c>
      <c r="B45" s="22"/>
      <c r="C45" s="30"/>
      <c r="D45" s="27" t="s">
        <v>69</v>
      </c>
      <c r="E45" s="29"/>
      <c r="F45" s="29"/>
      <c r="G45" s="23">
        <f t="shared" si="3"/>
        <v>0</v>
      </c>
      <c r="H45" s="23" t="s">
        <v>21</v>
      </c>
      <c r="I45" s="23" t="s">
        <v>25</v>
      </c>
      <c r="J45" s="40"/>
      <c r="K45" s="37"/>
      <c r="L45" s="37"/>
      <c r="M45" s="37"/>
      <c r="N45" s="37"/>
      <c r="O45" s="37"/>
      <c r="P45" s="37"/>
      <c r="Q45" s="37"/>
    </row>
    <row r="46" s="1" customFormat="1" ht="14.5" spans="1:17">
      <c r="A46" s="17">
        <f t="shared" si="4"/>
        <v>38</v>
      </c>
      <c r="B46" s="22"/>
      <c r="C46" s="30"/>
      <c r="D46" s="19" t="s">
        <v>70</v>
      </c>
      <c r="E46" s="24">
        <v>44776</v>
      </c>
      <c r="F46" s="24">
        <v>44777</v>
      </c>
      <c r="G46" s="23">
        <f t="shared" si="3"/>
        <v>4</v>
      </c>
      <c r="H46" s="23" t="s">
        <v>21</v>
      </c>
      <c r="I46" s="23" t="s">
        <v>25</v>
      </c>
      <c r="J46" s="40"/>
      <c r="K46" s="37"/>
      <c r="L46" s="37"/>
      <c r="M46" s="37"/>
      <c r="N46" s="37"/>
      <c r="O46" s="37"/>
      <c r="P46" s="37"/>
      <c r="Q46" s="37"/>
    </row>
    <row r="47" s="1" customFormat="1" ht="14.5" spans="1:17">
      <c r="A47" s="17">
        <f t="shared" si="4"/>
        <v>39</v>
      </c>
      <c r="B47" s="22"/>
      <c r="C47" s="30"/>
      <c r="D47" s="19" t="s">
        <v>71</v>
      </c>
      <c r="E47" s="24">
        <v>44777</v>
      </c>
      <c r="F47" s="24">
        <v>44778</v>
      </c>
      <c r="G47" s="23">
        <f t="shared" si="3"/>
        <v>4</v>
      </c>
      <c r="H47" s="23" t="s">
        <v>21</v>
      </c>
      <c r="I47" s="23" t="s">
        <v>25</v>
      </c>
      <c r="J47" s="40"/>
      <c r="K47" s="37"/>
      <c r="L47" s="37"/>
      <c r="M47" s="37"/>
      <c r="N47" s="37"/>
      <c r="O47" s="37"/>
      <c r="P47" s="37"/>
      <c r="Q47" s="37"/>
    </row>
    <row r="48" s="1" customFormat="1" ht="14.5" spans="1:17">
      <c r="A48" s="17">
        <f t="shared" si="4"/>
        <v>40</v>
      </c>
      <c r="B48" s="22"/>
      <c r="C48" s="30"/>
      <c r="D48" s="19" t="s">
        <v>72</v>
      </c>
      <c r="E48" s="24">
        <v>44778</v>
      </c>
      <c r="F48" s="24">
        <v>44779</v>
      </c>
      <c r="G48" s="23">
        <f t="shared" si="3"/>
        <v>4</v>
      </c>
      <c r="H48" s="23" t="s">
        <v>21</v>
      </c>
      <c r="I48" s="23" t="s">
        <v>25</v>
      </c>
      <c r="J48" s="40"/>
      <c r="K48" s="37"/>
      <c r="L48" s="37"/>
      <c r="M48" s="37"/>
      <c r="N48" s="37"/>
      <c r="O48" s="37"/>
      <c r="P48" s="37"/>
      <c r="Q48" s="37"/>
    </row>
    <row r="49" s="1" customFormat="1" ht="14.5" spans="1:17">
      <c r="A49" s="17">
        <f t="shared" si="4"/>
        <v>41</v>
      </c>
      <c r="B49" s="22"/>
      <c r="C49" s="30"/>
      <c r="D49" s="19" t="s">
        <v>73</v>
      </c>
      <c r="E49" s="24">
        <v>44779</v>
      </c>
      <c r="F49" s="24">
        <v>44780</v>
      </c>
      <c r="G49" s="23">
        <f t="shared" ref="G49:G54" si="5">(F49-E49)*8*0.5</f>
        <v>4</v>
      </c>
      <c r="H49" s="23" t="s">
        <v>21</v>
      </c>
      <c r="I49" s="23" t="s">
        <v>25</v>
      </c>
      <c r="J49" s="40"/>
      <c r="K49" s="37"/>
      <c r="L49" s="37"/>
      <c r="M49" s="37"/>
      <c r="N49" s="37"/>
      <c r="O49" s="37"/>
      <c r="P49" s="37"/>
      <c r="Q49" s="37"/>
    </row>
    <row r="50" s="1" customFormat="1" ht="14.5" spans="1:17">
      <c r="A50" s="17">
        <f t="shared" si="4"/>
        <v>42</v>
      </c>
      <c r="B50" s="22"/>
      <c r="C50" s="23" t="s">
        <v>74</v>
      </c>
      <c r="D50" s="31" t="s">
        <v>75</v>
      </c>
      <c r="E50" s="24">
        <v>44780</v>
      </c>
      <c r="F50" s="24">
        <v>44781</v>
      </c>
      <c r="G50" s="32">
        <f t="shared" si="5"/>
        <v>4</v>
      </c>
      <c r="H50" s="32" t="s">
        <v>21</v>
      </c>
      <c r="I50" s="32" t="s">
        <v>21</v>
      </c>
      <c r="J50" s="35"/>
      <c r="K50" s="37"/>
      <c r="L50" s="37"/>
      <c r="M50" s="37"/>
      <c r="N50" s="37"/>
      <c r="O50" s="37"/>
      <c r="P50" s="37"/>
      <c r="Q50" s="37"/>
    </row>
    <row r="51" s="1" customFormat="1" ht="14.5" spans="1:17">
      <c r="A51" s="17">
        <f t="shared" si="4"/>
        <v>43</v>
      </c>
      <c r="B51" s="22"/>
      <c r="C51" s="25"/>
      <c r="D51" s="19" t="s">
        <v>76</v>
      </c>
      <c r="E51" s="24">
        <v>44780</v>
      </c>
      <c r="F51" s="24">
        <v>44782</v>
      </c>
      <c r="G51" s="17">
        <f t="shared" si="5"/>
        <v>8</v>
      </c>
      <c r="H51" s="17" t="s">
        <v>21</v>
      </c>
      <c r="I51" s="17" t="s">
        <v>21</v>
      </c>
      <c r="J51" s="35"/>
      <c r="K51" s="37"/>
      <c r="L51" s="37"/>
      <c r="M51" s="37"/>
      <c r="N51" s="37"/>
      <c r="O51" s="37"/>
      <c r="P51" s="37"/>
      <c r="Q51" s="37"/>
    </row>
    <row r="52" s="1" customFormat="1" ht="14.5" spans="1:17">
      <c r="A52" s="17">
        <f t="shared" si="4"/>
        <v>44</v>
      </c>
      <c r="B52" s="22"/>
      <c r="C52" s="25"/>
      <c r="D52" s="19" t="s">
        <v>77</v>
      </c>
      <c r="E52" s="24">
        <v>44782</v>
      </c>
      <c r="F52" s="24">
        <v>44783</v>
      </c>
      <c r="G52" s="17">
        <f t="shared" si="5"/>
        <v>4</v>
      </c>
      <c r="H52" s="17" t="s">
        <v>21</v>
      </c>
      <c r="I52" s="17" t="s">
        <v>21</v>
      </c>
      <c r="J52" s="35"/>
      <c r="K52" s="37"/>
      <c r="L52" s="37"/>
      <c r="M52" s="37"/>
      <c r="N52" s="37"/>
      <c r="O52" s="37"/>
      <c r="P52" s="37"/>
      <c r="Q52" s="37"/>
    </row>
    <row r="53" s="1" customFormat="1" ht="14.5" spans="1:17">
      <c r="A53" s="17">
        <f t="shared" si="4"/>
        <v>45</v>
      </c>
      <c r="B53" s="22"/>
      <c r="C53" s="25"/>
      <c r="D53" s="19" t="s">
        <v>78</v>
      </c>
      <c r="E53" s="24">
        <v>44782</v>
      </c>
      <c r="F53" s="24">
        <v>44784</v>
      </c>
      <c r="G53" s="17">
        <f t="shared" si="5"/>
        <v>8</v>
      </c>
      <c r="H53" s="17" t="s">
        <v>21</v>
      </c>
      <c r="I53" s="17" t="s">
        <v>21</v>
      </c>
      <c r="J53" s="35"/>
      <c r="K53" s="37"/>
      <c r="L53" s="37"/>
      <c r="M53" s="37"/>
      <c r="N53" s="37"/>
      <c r="O53" s="37"/>
      <c r="P53" s="37"/>
      <c r="Q53" s="37"/>
    </row>
    <row r="54" s="1" customFormat="1" ht="14.5" spans="1:17">
      <c r="A54" s="17">
        <f t="shared" si="4"/>
        <v>46</v>
      </c>
      <c r="B54" s="22"/>
      <c r="C54" s="25"/>
      <c r="D54" s="19" t="s">
        <v>79</v>
      </c>
      <c r="E54" s="24">
        <v>44783</v>
      </c>
      <c r="F54" s="24">
        <v>44785</v>
      </c>
      <c r="G54" s="17">
        <f t="shared" si="5"/>
        <v>8</v>
      </c>
      <c r="H54" s="17" t="s">
        <v>21</v>
      </c>
      <c r="I54" s="17" t="s">
        <v>21</v>
      </c>
      <c r="J54" s="35"/>
      <c r="K54" s="37"/>
      <c r="L54" s="37"/>
      <c r="M54" s="37"/>
      <c r="N54" s="37"/>
      <c r="O54" s="37"/>
      <c r="P54" s="37"/>
      <c r="Q54" s="37"/>
    </row>
    <row r="55" s="1" customFormat="1" ht="14.5" spans="1:17">
      <c r="A55" s="17">
        <f t="shared" si="4"/>
        <v>47</v>
      </c>
      <c r="B55" s="22"/>
      <c r="C55" s="32"/>
      <c r="D55" s="19" t="s">
        <v>80</v>
      </c>
      <c r="E55" s="24">
        <v>44783</v>
      </c>
      <c r="F55" s="24">
        <v>44785</v>
      </c>
      <c r="G55" s="17">
        <f t="shared" ref="G55:G71" si="6">(F55-E55)*8*0.5</f>
        <v>8</v>
      </c>
      <c r="H55" s="17" t="s">
        <v>21</v>
      </c>
      <c r="I55" s="17" t="s">
        <v>21</v>
      </c>
      <c r="J55" s="35"/>
      <c r="K55" s="37"/>
      <c r="L55" s="37"/>
      <c r="M55" s="37"/>
      <c r="N55" s="37"/>
      <c r="O55" s="37"/>
      <c r="P55" s="37"/>
      <c r="Q55" s="37"/>
    </row>
    <row r="56" s="1" customFormat="1" ht="14.5" spans="1:17">
      <c r="A56" s="17">
        <f t="shared" si="4"/>
        <v>48</v>
      </c>
      <c r="B56" s="22"/>
      <c r="C56" s="23" t="s">
        <v>81</v>
      </c>
      <c r="D56" s="19" t="s">
        <v>82</v>
      </c>
      <c r="E56" s="24">
        <v>44786</v>
      </c>
      <c r="F56" s="24">
        <v>44787</v>
      </c>
      <c r="G56" s="17">
        <f t="shared" si="6"/>
        <v>4</v>
      </c>
      <c r="H56" s="17" t="s">
        <v>21</v>
      </c>
      <c r="I56" s="17" t="s">
        <v>21</v>
      </c>
      <c r="J56" s="35"/>
      <c r="K56" s="37"/>
      <c r="L56" s="37"/>
      <c r="M56" s="37"/>
      <c r="N56" s="37"/>
      <c r="O56" s="37"/>
      <c r="P56" s="37"/>
      <c r="Q56" s="37"/>
    </row>
    <row r="57" s="1" customFormat="1" ht="14.5" spans="1:17">
      <c r="A57" s="17">
        <f t="shared" si="4"/>
        <v>49</v>
      </c>
      <c r="B57" s="22"/>
      <c r="C57" s="25"/>
      <c r="D57" s="19" t="s">
        <v>83</v>
      </c>
      <c r="E57" s="24">
        <v>44787</v>
      </c>
      <c r="F57" s="24">
        <v>44788</v>
      </c>
      <c r="G57" s="17">
        <f t="shared" si="6"/>
        <v>4</v>
      </c>
      <c r="H57" s="17" t="s">
        <v>21</v>
      </c>
      <c r="I57" s="17" t="s">
        <v>21</v>
      </c>
      <c r="J57" s="35"/>
      <c r="K57" s="37"/>
      <c r="L57" s="37"/>
      <c r="M57" s="37"/>
      <c r="N57" s="37"/>
      <c r="O57" s="37"/>
      <c r="P57" s="37"/>
      <c r="Q57" s="37"/>
    </row>
    <row r="58" s="1" customFormat="1" ht="14.5" spans="1:17">
      <c r="A58" s="17">
        <f t="shared" si="4"/>
        <v>50</v>
      </c>
      <c r="B58" s="22"/>
      <c r="C58" s="25"/>
      <c r="D58" s="19" t="s">
        <v>84</v>
      </c>
      <c r="E58" s="24">
        <v>44787</v>
      </c>
      <c r="F58" s="24">
        <v>44787</v>
      </c>
      <c r="G58" s="17">
        <f t="shared" si="6"/>
        <v>0</v>
      </c>
      <c r="H58" s="17" t="s">
        <v>21</v>
      </c>
      <c r="I58" s="17" t="s">
        <v>21</v>
      </c>
      <c r="J58" s="35"/>
      <c r="K58" s="37"/>
      <c r="L58" s="37"/>
      <c r="M58" s="37"/>
      <c r="N58" s="37"/>
      <c r="O58" s="37"/>
      <c r="P58" s="37"/>
      <c r="Q58" s="37"/>
    </row>
    <row r="59" s="1" customFormat="1" ht="14.5" spans="1:17">
      <c r="A59" s="17">
        <f t="shared" si="4"/>
        <v>51</v>
      </c>
      <c r="B59" s="22"/>
      <c r="C59" s="25"/>
      <c r="D59" s="19" t="s">
        <v>85</v>
      </c>
      <c r="E59" s="24">
        <v>44788</v>
      </c>
      <c r="F59" s="24">
        <v>44788</v>
      </c>
      <c r="G59" s="17">
        <f t="shared" si="6"/>
        <v>0</v>
      </c>
      <c r="H59" s="17" t="s">
        <v>21</v>
      </c>
      <c r="I59" s="17" t="s">
        <v>21</v>
      </c>
      <c r="J59" s="35"/>
      <c r="K59" s="37"/>
      <c r="L59" s="37"/>
      <c r="M59" s="37"/>
      <c r="N59" s="37"/>
      <c r="O59" s="37"/>
      <c r="P59" s="37"/>
      <c r="Q59" s="37"/>
    </row>
    <row r="60" s="1" customFormat="1" ht="14.5" spans="1:17">
      <c r="A60" s="17">
        <f t="shared" si="4"/>
        <v>52</v>
      </c>
      <c r="B60" s="22"/>
      <c r="C60" s="25"/>
      <c r="D60" s="19" t="s">
        <v>86</v>
      </c>
      <c r="E60" s="24">
        <v>44789</v>
      </c>
      <c r="F60" s="24">
        <v>44789</v>
      </c>
      <c r="G60" s="17">
        <f t="shared" si="6"/>
        <v>0</v>
      </c>
      <c r="H60" s="17" t="s">
        <v>21</v>
      </c>
      <c r="I60" s="17" t="s">
        <v>21</v>
      </c>
      <c r="J60" s="35"/>
      <c r="K60" s="37"/>
      <c r="L60" s="37"/>
      <c r="M60" s="37"/>
      <c r="N60" s="37"/>
      <c r="O60" s="37"/>
      <c r="P60" s="37"/>
      <c r="Q60" s="37"/>
    </row>
    <row r="61" s="1" customFormat="1" ht="14.5" spans="1:17">
      <c r="A61" s="17">
        <f t="shared" si="4"/>
        <v>53</v>
      </c>
      <c r="B61" s="22"/>
      <c r="C61" s="25"/>
      <c r="D61" s="19" t="s">
        <v>87</v>
      </c>
      <c r="E61" s="24">
        <v>44789</v>
      </c>
      <c r="F61" s="24">
        <v>44789</v>
      </c>
      <c r="G61" s="17">
        <f t="shared" si="6"/>
        <v>0</v>
      </c>
      <c r="H61" s="17" t="s">
        <v>21</v>
      </c>
      <c r="I61" s="17" t="s">
        <v>21</v>
      </c>
      <c r="J61" s="35"/>
      <c r="K61" s="37"/>
      <c r="L61" s="37"/>
      <c r="M61" s="37"/>
      <c r="N61" s="37"/>
      <c r="O61" s="37"/>
      <c r="P61" s="37"/>
      <c r="Q61" s="37"/>
    </row>
    <row r="62" s="1" customFormat="1" ht="14.5" spans="1:17">
      <c r="A62" s="17">
        <f t="shared" si="4"/>
        <v>54</v>
      </c>
      <c r="B62" s="22"/>
      <c r="C62" s="25"/>
      <c r="D62" s="19" t="s">
        <v>88</v>
      </c>
      <c r="E62" s="24">
        <v>44790</v>
      </c>
      <c r="F62" s="24">
        <v>44790</v>
      </c>
      <c r="G62" s="17">
        <f t="shared" si="6"/>
        <v>0</v>
      </c>
      <c r="H62" s="17" t="s">
        <v>21</v>
      </c>
      <c r="I62" s="17" t="s">
        <v>21</v>
      </c>
      <c r="J62" s="35"/>
      <c r="K62" s="37"/>
      <c r="L62" s="37"/>
      <c r="M62" s="37"/>
      <c r="N62" s="37"/>
      <c r="O62" s="37"/>
      <c r="P62" s="37"/>
      <c r="Q62" s="37"/>
    </row>
    <row r="63" s="1" customFormat="1" ht="14.5" spans="1:17">
      <c r="A63" s="17">
        <f t="shared" si="4"/>
        <v>55</v>
      </c>
      <c r="B63" s="33"/>
      <c r="C63" s="23" t="s">
        <v>89</v>
      </c>
      <c r="D63" s="19" t="s">
        <v>90</v>
      </c>
      <c r="E63" s="24">
        <v>44791</v>
      </c>
      <c r="F63" s="24">
        <v>44792</v>
      </c>
      <c r="G63" s="17">
        <f t="shared" si="6"/>
        <v>4</v>
      </c>
      <c r="H63" s="17" t="s">
        <v>21</v>
      </c>
      <c r="I63" s="17" t="s">
        <v>21</v>
      </c>
      <c r="J63" s="35"/>
      <c r="K63" s="37"/>
      <c r="L63" s="37"/>
      <c r="M63" s="37"/>
      <c r="N63" s="37"/>
      <c r="O63" s="37"/>
      <c r="P63" s="37"/>
      <c r="Q63" s="37"/>
    </row>
    <row r="64" s="1" customFormat="1" ht="14.5" spans="1:17">
      <c r="A64" s="17">
        <f t="shared" si="4"/>
        <v>56</v>
      </c>
      <c r="B64" s="33"/>
      <c r="C64" s="25"/>
      <c r="D64" s="34" t="s">
        <v>91</v>
      </c>
      <c r="E64" s="24">
        <v>44757</v>
      </c>
      <c r="F64" s="24">
        <v>44803</v>
      </c>
      <c r="G64" s="17">
        <f t="shared" si="6"/>
        <v>184</v>
      </c>
      <c r="H64" s="17" t="s">
        <v>21</v>
      </c>
      <c r="I64" s="17" t="s">
        <v>39</v>
      </c>
      <c r="J64" s="35"/>
      <c r="K64" s="37"/>
      <c r="L64" s="37"/>
      <c r="M64" s="37"/>
      <c r="N64" s="37"/>
      <c r="O64" s="37"/>
      <c r="P64" s="37"/>
      <c r="Q64" s="37"/>
    </row>
    <row r="65" s="1" customFormat="1" ht="14.5" spans="1:17">
      <c r="A65" s="17">
        <f t="shared" si="4"/>
        <v>57</v>
      </c>
      <c r="B65" s="33"/>
      <c r="C65" s="25"/>
      <c r="D65" s="34" t="s">
        <v>92</v>
      </c>
      <c r="E65" s="24">
        <v>44757</v>
      </c>
      <c r="F65" s="24">
        <v>44772</v>
      </c>
      <c r="G65" s="17">
        <f t="shared" si="6"/>
        <v>60</v>
      </c>
      <c r="H65" s="17" t="s">
        <v>21</v>
      </c>
      <c r="I65" s="17" t="s">
        <v>41</v>
      </c>
      <c r="J65" s="35"/>
      <c r="K65" s="37"/>
      <c r="L65" s="37"/>
      <c r="M65" s="37"/>
      <c r="N65" s="37"/>
      <c r="O65" s="37"/>
      <c r="P65" s="37"/>
      <c r="Q65" s="37"/>
    </row>
    <row r="66" s="1" customFormat="1" ht="14.5" spans="1:17">
      <c r="A66" s="17">
        <f t="shared" si="4"/>
        <v>58</v>
      </c>
      <c r="B66" s="33"/>
      <c r="C66" s="25"/>
      <c r="D66" s="19" t="s">
        <v>93</v>
      </c>
      <c r="E66" s="24">
        <v>44788</v>
      </c>
      <c r="F66" s="24">
        <v>44834</v>
      </c>
      <c r="G66" s="17">
        <f t="shared" si="6"/>
        <v>184</v>
      </c>
      <c r="H66" s="17" t="s">
        <v>21</v>
      </c>
      <c r="I66" s="17" t="s">
        <v>41</v>
      </c>
      <c r="J66" s="35"/>
      <c r="K66" s="37"/>
      <c r="L66" s="37"/>
      <c r="M66" s="37"/>
      <c r="N66" s="37"/>
      <c r="O66" s="37"/>
      <c r="P66" s="37"/>
      <c r="Q66" s="37"/>
    </row>
    <row r="67" s="1" customFormat="1" ht="29" spans="1:17">
      <c r="A67" s="17">
        <f t="shared" si="4"/>
        <v>59</v>
      </c>
      <c r="B67" s="33" t="s">
        <v>94</v>
      </c>
      <c r="C67" s="17" t="s">
        <v>95</v>
      </c>
      <c r="D67" s="19" t="s">
        <v>96</v>
      </c>
      <c r="E67" s="24">
        <v>44793</v>
      </c>
      <c r="F67" s="24">
        <v>44796</v>
      </c>
      <c r="G67" s="17">
        <f t="shared" si="6"/>
        <v>12</v>
      </c>
      <c r="H67" s="17" t="s">
        <v>21</v>
      </c>
      <c r="I67" s="17" t="s">
        <v>97</v>
      </c>
      <c r="J67" s="35"/>
      <c r="K67" s="37"/>
      <c r="L67" s="37"/>
      <c r="M67" s="37"/>
      <c r="N67" s="37"/>
      <c r="O67" s="37"/>
      <c r="P67" s="37"/>
      <c r="Q67" s="37"/>
    </row>
    <row r="68" s="1" customFormat="1" ht="14.5" spans="1:17">
      <c r="A68" s="17">
        <f t="shared" si="4"/>
        <v>60</v>
      </c>
      <c r="B68" s="33"/>
      <c r="C68" s="17" t="s">
        <v>98</v>
      </c>
      <c r="D68" s="19" t="s">
        <v>99</v>
      </c>
      <c r="E68" s="24">
        <v>44794</v>
      </c>
      <c r="F68" s="24">
        <v>44797</v>
      </c>
      <c r="G68" s="17">
        <f t="shared" si="6"/>
        <v>12</v>
      </c>
      <c r="H68" s="17" t="s">
        <v>21</v>
      </c>
      <c r="I68" s="17" t="s">
        <v>97</v>
      </c>
      <c r="J68" s="35"/>
      <c r="K68" s="37"/>
      <c r="L68" s="37"/>
      <c r="M68" s="37"/>
      <c r="N68" s="37"/>
      <c r="O68" s="37"/>
      <c r="P68" s="37"/>
      <c r="Q68" s="37"/>
    </row>
    <row r="69" s="1" customFormat="1" ht="29" spans="1:17">
      <c r="A69" s="17">
        <f t="shared" si="4"/>
        <v>61</v>
      </c>
      <c r="B69" s="33"/>
      <c r="C69" s="17" t="s">
        <v>100</v>
      </c>
      <c r="D69" s="19" t="s">
        <v>101</v>
      </c>
      <c r="E69" s="24">
        <v>44795</v>
      </c>
      <c r="F69" s="24">
        <v>44798</v>
      </c>
      <c r="G69" s="17">
        <f t="shared" si="6"/>
        <v>12</v>
      </c>
      <c r="H69" s="17" t="s">
        <v>21</v>
      </c>
      <c r="I69" s="17" t="s">
        <v>97</v>
      </c>
      <c r="J69" s="35"/>
      <c r="K69" s="37"/>
      <c r="L69" s="37"/>
      <c r="M69" s="37"/>
      <c r="N69" s="37"/>
      <c r="O69" s="37"/>
      <c r="P69" s="37"/>
      <c r="Q69" s="37"/>
    </row>
    <row r="70" s="1" customFormat="1" ht="29" spans="1:17">
      <c r="A70" s="17">
        <f t="shared" si="4"/>
        <v>62</v>
      </c>
      <c r="B70" s="33"/>
      <c r="C70" s="17" t="s">
        <v>102</v>
      </c>
      <c r="D70" s="19" t="s">
        <v>103</v>
      </c>
      <c r="E70" s="24">
        <v>44799</v>
      </c>
      <c r="F70" s="24">
        <v>44803</v>
      </c>
      <c r="G70" s="17">
        <f t="shared" si="6"/>
        <v>16</v>
      </c>
      <c r="H70" s="17" t="s">
        <v>21</v>
      </c>
      <c r="I70" s="17" t="s">
        <v>97</v>
      </c>
      <c r="J70" s="35"/>
      <c r="K70" s="37"/>
      <c r="L70" s="37"/>
      <c r="M70" s="37"/>
      <c r="N70" s="37"/>
      <c r="O70" s="37"/>
      <c r="P70" s="37"/>
      <c r="Q70" s="37"/>
    </row>
    <row r="71" s="1" customFormat="1" ht="14.5" spans="1:17">
      <c r="A71" s="17">
        <f t="shared" si="4"/>
        <v>63</v>
      </c>
      <c r="B71" s="33"/>
      <c r="C71" s="17" t="s">
        <v>104</v>
      </c>
      <c r="D71" s="19" t="s">
        <v>105</v>
      </c>
      <c r="E71" s="24">
        <v>44804</v>
      </c>
      <c r="F71" s="24">
        <v>44834</v>
      </c>
      <c r="G71" s="17">
        <f t="shared" si="6"/>
        <v>120</v>
      </c>
      <c r="H71" s="17" t="s">
        <v>21</v>
      </c>
      <c r="I71" s="17"/>
      <c r="J71" s="35"/>
      <c r="K71" s="37"/>
      <c r="L71" s="37"/>
      <c r="M71" s="37"/>
      <c r="N71" s="37"/>
      <c r="O71" s="37"/>
      <c r="P71" s="37"/>
      <c r="Q71" s="37"/>
    </row>
  </sheetData>
  <mergeCells count="17">
    <mergeCell ref="A1:J1"/>
    <mergeCell ref="C2:I2"/>
    <mergeCell ref="C3:I3"/>
    <mergeCell ref="C4:I4"/>
    <mergeCell ref="C5:I5"/>
    <mergeCell ref="C6:I6"/>
    <mergeCell ref="A7:J7"/>
    <mergeCell ref="B9:B12"/>
    <mergeCell ref="B13:B66"/>
    <mergeCell ref="B67:B71"/>
    <mergeCell ref="C13:C21"/>
    <mergeCell ref="C22:C49"/>
    <mergeCell ref="C50:C55"/>
    <mergeCell ref="C56:C62"/>
    <mergeCell ref="C63:C66"/>
    <mergeCell ref="J22:J49"/>
    <mergeCell ref="A2:B6"/>
  </mergeCells>
  <pageMargins left="0.75" right="0.75" top="1" bottom="1" header="0.511805555555556" footer="0.511805555555556"/>
  <pageSetup paperSize="9" scale="5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刘文江</cp:lastModifiedBy>
  <dcterms:created xsi:type="dcterms:W3CDTF">2017-11-30T13:24:00Z</dcterms:created>
  <dcterms:modified xsi:type="dcterms:W3CDTF">2025-03-13T07:25:06Z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21406ADFF240490886A3FA2ED84F9458_12</vt:lpwstr>
  </property>
</Properties>
</file>