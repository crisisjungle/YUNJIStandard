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bookViews>
  <sheets>
    <sheet name="Sheet2 (3)" sheetId="2" r:id="rId1"/>
  </sheets>
  <definedNames>
    <definedName name="_xlnm._FilterDatabase" localSheetId="0" hidden="1">'Sheet2 (3)'!$A$1:$S$105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<sst xmlns="http://schemas.openxmlformats.org/spreadsheetml/2006/main" count="938" uniqueCount="378">
  <si>
    <t>签约标志</t>
  </si>
  <si>
    <t>A0项目类型</t>
  </si>
  <si>
    <t>合同类型</t>
  </si>
  <si>
    <t>A2项目编号</t>
  </si>
  <si>
    <t>A3项目名称</t>
  </si>
  <si>
    <t>A4签单日期</t>
  </si>
  <si>
    <t>A5签单金额</t>
  </si>
  <si>
    <t>类型</t>
  </si>
  <si>
    <t>B3终验签字日期</t>
  </si>
  <si>
    <t>B4终验盖章日期</t>
  </si>
  <si>
    <t>验收收入</t>
  </si>
  <si>
    <t>质保成本计提（5%）</t>
  </si>
  <si>
    <t>项目情况</t>
  </si>
  <si>
    <t>料合计</t>
  </si>
  <si>
    <t>工合计</t>
  </si>
  <si>
    <t>费合计</t>
  </si>
  <si>
    <t>毛利</t>
  </si>
  <si>
    <t>原项目代码</t>
  </si>
  <si>
    <t>苏州共济</t>
  </si>
  <si>
    <t>M</t>
  </si>
  <si>
    <t>买卖合同</t>
  </si>
  <si>
    <t>X-24-045463</t>
  </si>
  <si>
    <t>深圳市中信银行股份有限公司一体化机柜及配件采购项目（20241014）</t>
  </si>
  <si>
    <t>2024.10.28</t>
  </si>
  <si>
    <t>主合同</t>
  </si>
  <si>
    <t>2025年</t>
  </si>
  <si>
    <t>深圳共济</t>
  </si>
  <si>
    <t>X-24-045740</t>
  </si>
  <si>
    <t>深圳市中信银行一体化机柜采购项目（20241111）</t>
  </si>
  <si>
    <t>2024.11.14</t>
  </si>
  <si>
    <t>X-22-038587</t>
  </si>
  <si>
    <t>黑龙江护理高等专科学校微模块扩容</t>
  </si>
  <si>
    <t>2024.12.26</t>
  </si>
  <si>
    <t>X-24-046006</t>
  </si>
  <si>
    <t>中兴通讯股份有限公司深圳一体化机柜项目</t>
  </si>
  <si>
    <t>X-24-046126</t>
  </si>
  <si>
    <t>中信银行股份有限公司深圳一体化机柜配件项目（20241220）</t>
  </si>
  <si>
    <t>2024.12.24</t>
  </si>
  <si>
    <t>X-24-046212</t>
  </si>
  <si>
    <t>中信银行股份有限公司深圳一体化机柜配件项目（20241230）</t>
  </si>
  <si>
    <t>2025.02.18</t>
  </si>
  <si>
    <t>X-25-046340</t>
  </si>
  <si>
    <t>深圳市中信银行股份有限公司一体化机柜配件采购项目（20250106）</t>
  </si>
  <si>
    <t>2025.01.16</t>
  </si>
  <si>
    <t>X-25-046446</t>
  </si>
  <si>
    <t>中信银行股份有限公司深圳一体化机柜配件采购项目（20250212）</t>
  </si>
  <si>
    <t>X-25-046647</t>
  </si>
  <si>
    <t>河北保定天威保变电气股份有限公司空调配件买卖项目</t>
  </si>
  <si>
    <t>2025.03.06</t>
  </si>
  <si>
    <t>X-25-046926</t>
  </si>
  <si>
    <t>上海亿达华电子科技工程有限公司一体化机柜空调备件采购项目</t>
  </si>
  <si>
    <t>2025.03.27</t>
  </si>
  <si>
    <t>X-25-046688</t>
  </si>
  <si>
    <t>中信银行股份有限公司深圳市一体化机柜配件项目（20250305）</t>
  </si>
  <si>
    <t>2025.04.01</t>
  </si>
  <si>
    <t>X-25-046985</t>
  </si>
  <si>
    <t>广州市广东空天科技研究院C500单机柜配件买卖项目</t>
  </si>
  <si>
    <t>2025.04.02</t>
  </si>
  <si>
    <t>X-25-047105</t>
  </si>
  <si>
    <t>中信银行股份有限公司哈尔滨一体化机柜配件项目（20250414）</t>
  </si>
  <si>
    <t>2025.04.17</t>
  </si>
  <si>
    <t>X-25-047224</t>
  </si>
  <si>
    <t>中信银行股份有限公司深圳市一体化机柜配件项目（20250423）</t>
  </si>
  <si>
    <t>2025.04.27</t>
  </si>
  <si>
    <t>X-24-045786</t>
  </si>
  <si>
    <t>中国石油大学（华东）-青岛市黄岛校区智能计算与热控技术联合实验室多联柜项目</t>
  </si>
  <si>
    <t>2025.04.30</t>
  </si>
  <si>
    <t>X-24-046046</t>
  </si>
  <si>
    <t>中信银行股份有限公司深圳一体化机柜项目（20241211）</t>
  </si>
  <si>
    <t>2025.05.27</t>
  </si>
  <si>
    <t>X-25-047314</t>
  </si>
  <si>
    <t>湖北省武汉市武汉倚天云计算有限公司一体柜单柜项目</t>
  </si>
  <si>
    <t>2025.05.12</t>
  </si>
  <si>
    <t>X-25-047376</t>
  </si>
  <si>
    <t>中信银行股份有限公司深圳市一体化机柜配件项目（20250514）</t>
  </si>
  <si>
    <t>X-25-047354</t>
  </si>
  <si>
    <t>中国银行保险监督管理委员会六盘水监管分局数据中心多联柜硬件更换产品买卖合同</t>
  </si>
  <si>
    <t>2025.05.22</t>
  </si>
  <si>
    <t>X-25-047407</t>
  </si>
  <si>
    <t>罗森伯格（上海）通信技术有限公司P25A000632一体化机柜空调采购项目</t>
  </si>
  <si>
    <t>2025.05.26</t>
  </si>
  <si>
    <t>X-25-048173</t>
  </si>
  <si>
    <t>中国银行业监督管理委员会黔南监管分局一体化智能柜空调硬件产品买卖合同（2025年8月）</t>
  </si>
  <si>
    <t>2025.08.20</t>
  </si>
  <si>
    <t>X-25-048294</t>
  </si>
  <si>
    <t>深圳市崧盛电子股份有限公司中山机房多联柜项目硬件采购合同2025年度</t>
  </si>
  <si>
    <t>2025.09.04</t>
  </si>
  <si>
    <t>X</t>
  </si>
  <si>
    <t>调试安装</t>
  </si>
  <si>
    <t>X-18-020196</t>
  </si>
  <si>
    <t>深圳半岛城邦房地产开发有限公司新建微模块项目</t>
  </si>
  <si>
    <t>2018.12.26</t>
  </si>
  <si>
    <t>2025.04.14</t>
  </si>
  <si>
    <t>X-22-034799</t>
  </si>
  <si>
    <t>杭州移动下沙顶新通讯机房改造项目</t>
  </si>
  <si>
    <t>2022.01.12</t>
  </si>
  <si>
    <t>2025.04.21</t>
  </si>
  <si>
    <t>X-22-036190</t>
  </si>
  <si>
    <t>曙光安徽省引江济淮集团有限公司C500多联柜项目</t>
  </si>
  <si>
    <t>2022.05.27</t>
  </si>
  <si>
    <t>管线施工+安装调试</t>
  </si>
  <si>
    <t>X-23-039687</t>
  </si>
  <si>
    <t>中国建设银行股份有限公司青海省分行一体化机柜采购项目（双柜）</t>
  </si>
  <si>
    <t>2023.05.26</t>
  </si>
  <si>
    <t>2025.04.24</t>
  </si>
  <si>
    <t>X-21-031965</t>
  </si>
  <si>
    <t>内蒙古自治区民航机场集团有限公司呼和浩特机场动环、DCIM项目</t>
  </si>
  <si>
    <t>2023.06.29</t>
  </si>
  <si>
    <t>2025.06.27</t>
  </si>
  <si>
    <t>X-23-041109</t>
  </si>
  <si>
    <t>上海新致软件20230818ups电池项目</t>
  </si>
  <si>
    <t>2023.08.31</t>
  </si>
  <si>
    <t>2025.03.28</t>
  </si>
  <si>
    <t>X-23-039908</t>
  </si>
  <si>
    <t>西安咸阳机场三期建设项目一体化户外柜</t>
  </si>
  <si>
    <t>2023.04.28</t>
  </si>
  <si>
    <t>2025.01.21</t>
  </si>
  <si>
    <t>X-23-041620</t>
  </si>
  <si>
    <t>京唐港股份有限公司河北廊坊临空创新中心微模块项目</t>
  </si>
  <si>
    <t>2024.01.30</t>
  </si>
  <si>
    <t>2025.05.28</t>
  </si>
  <si>
    <t>X-24-043498</t>
  </si>
  <si>
    <t>深圳市中兴康讯电子有限公司杭州专通局一体化机柜定制项目</t>
  </si>
  <si>
    <t>2024.06.06</t>
  </si>
  <si>
    <t>增减项</t>
  </si>
  <si>
    <t>2024.10.30</t>
  </si>
  <si>
    <t>X-24-044360</t>
  </si>
  <si>
    <t>南京市中国工商银行股份有限公司江苏省分行一体化机柜采购项目</t>
  </si>
  <si>
    <t>2024.12.19</t>
  </si>
  <si>
    <t>2025.02.05</t>
  </si>
  <si>
    <t>X-24-044930</t>
  </si>
  <si>
    <t>中信银行股份有限公司石家庄分行微模块项目</t>
  </si>
  <si>
    <t>2024.09.04</t>
  </si>
  <si>
    <t>2025.06.26</t>
  </si>
  <si>
    <t>X-24-045026</t>
  </si>
  <si>
    <t>曙光北京704S机房建设C500单机柜项目3期</t>
  </si>
  <si>
    <t>2024.09.14</t>
  </si>
  <si>
    <t>2025.01.22</t>
  </si>
  <si>
    <t>2025.01.25</t>
  </si>
  <si>
    <t>X-24-045545</t>
  </si>
  <si>
    <t>中国建设银行江苏省分行扬州市凯旋支行一体化机柜项目</t>
  </si>
  <si>
    <t>2024.10.29</t>
  </si>
  <si>
    <t>2025.01.20</t>
  </si>
  <si>
    <t>X-24-045548</t>
  </si>
  <si>
    <t>中国建设银行江苏省分行泰州市靖江支行一体化机柜项目</t>
  </si>
  <si>
    <t>X-24-045551</t>
  </si>
  <si>
    <t>中国建设银行江苏省分行徐州市新沂新安支行一体化机柜项目</t>
  </si>
  <si>
    <t>2025.02.10</t>
  </si>
  <si>
    <t>买卖合同+指导安装</t>
  </si>
  <si>
    <t>X-24-045643</t>
  </si>
  <si>
    <t>四川广安天兴制药有限公司微模块项目</t>
  </si>
  <si>
    <t>2024.11.11</t>
  </si>
  <si>
    <t>2025.03.10</t>
  </si>
  <si>
    <t>调试</t>
  </si>
  <si>
    <t>X-24-045828</t>
  </si>
  <si>
    <t>曙光南昌大学C500单机柜主机替换项目</t>
  </si>
  <si>
    <t>2024.11.21</t>
  </si>
  <si>
    <t>X-24-044889</t>
  </si>
  <si>
    <t>上海浦东发展银行股份有限公司呼和浩特分行锡林路支行一体化机柜项目</t>
  </si>
  <si>
    <t>2025.01.03</t>
  </si>
  <si>
    <t>2025.02.13</t>
  </si>
  <si>
    <t>X-24-045544</t>
  </si>
  <si>
    <t>中国建设银行江苏省分行扬州市曲江支行一体化机柜</t>
  </si>
  <si>
    <t>2024.12.05</t>
  </si>
  <si>
    <t>X-24-045546</t>
  </si>
  <si>
    <t>中国建设银行江苏省分行无锡市江阴申港支行一体化机柜项目</t>
  </si>
  <si>
    <t>X-24-045547</t>
  </si>
  <si>
    <t>中国建设银行江苏省分行无锡市宜兴张渚支行一体化机柜项目</t>
  </si>
  <si>
    <t>X-24-045877</t>
  </si>
  <si>
    <t>曙光合肥阳光电源股份有限公司C500-30k单机柜项目</t>
  </si>
  <si>
    <t>2024.12.03</t>
  </si>
  <si>
    <t>2025.03.05</t>
  </si>
  <si>
    <t>X-24-045903</t>
  </si>
  <si>
    <t>中国建设银行江苏省分行常州金城花苑支行一体化机柜项目</t>
  </si>
  <si>
    <t>2024.12.06</t>
  </si>
  <si>
    <t>X-24-045988</t>
  </si>
  <si>
    <t>湖南国防科技大学c500空调改造项目</t>
  </si>
  <si>
    <t>2024.12.17</t>
  </si>
  <si>
    <t>2025.01.13</t>
  </si>
  <si>
    <t>X-24-046087</t>
  </si>
  <si>
    <t>建设银行江苏省分行弱电井一体化机柜项目</t>
  </si>
  <si>
    <t>2025.06.19</t>
  </si>
  <si>
    <t>X-24-046107</t>
  </si>
  <si>
    <t>曙光上海华东理工大学C500单机柜项目</t>
  </si>
  <si>
    <t>2025.01.05</t>
  </si>
  <si>
    <t>X-24-046177</t>
  </si>
  <si>
    <t>广东省专用通信局珠海和佛山地区三级网MiniDC一体化机柜项目</t>
  </si>
  <si>
    <t>2025.06.30</t>
  </si>
  <si>
    <t>X-24-044650</t>
  </si>
  <si>
    <t>中华人民共和国火箭军部队云南建水五联柜建设项目</t>
  </si>
  <si>
    <t>2025.02.11</t>
  </si>
  <si>
    <t>2025.08.28</t>
  </si>
  <si>
    <t>X-24-045904</t>
  </si>
  <si>
    <t>中国建设银行江苏省分行常州香缇湾花园支行一体化机柜项目</t>
  </si>
  <si>
    <t>2025.02.21</t>
  </si>
  <si>
    <t>2025.04.28</t>
  </si>
  <si>
    <t>X-24-045906</t>
  </si>
  <si>
    <t>中国建设银行江苏省分行无锡市梅园支行一体化机柜项目</t>
  </si>
  <si>
    <t>2025.02.20</t>
  </si>
  <si>
    <t>2025.04.09</t>
  </si>
  <si>
    <t>X-25-046372</t>
  </si>
  <si>
    <t>中国建设银行股份有限公司浙江省分行平水支行一体化机柜项目</t>
  </si>
  <si>
    <t>2025.02.14</t>
  </si>
  <si>
    <t>2025.06.23</t>
  </si>
  <si>
    <t>X-24-045550</t>
  </si>
  <si>
    <t>中国建设银行江苏省分行淮安市金湖衡阳路支行一体化机柜项目</t>
  </si>
  <si>
    <t>2025.02.25</t>
  </si>
  <si>
    <t>X-24-045871</t>
  </si>
  <si>
    <t>石嘴山市宁夏理工学院实验室一体化柜项目</t>
  </si>
  <si>
    <t>X-25-046577</t>
  </si>
  <si>
    <t>广东省专用通信局珠海和佛山地区三级网MiniDC一体化机柜项目（20250225）</t>
  </si>
  <si>
    <t>2025.03.03</t>
  </si>
  <si>
    <t>2025.06.24</t>
  </si>
  <si>
    <t>X-25-046685</t>
  </si>
  <si>
    <t>北京零重空间技术有限公司一体化机柜项目（第二批）</t>
  </si>
  <si>
    <t>2025.05.29</t>
  </si>
  <si>
    <t>X-25-046979</t>
  </si>
  <si>
    <t>上海市武汉元石智算科技有限公司一体化机柜单套采购项目（2503不含UPS及空调）</t>
  </si>
  <si>
    <t>2025.05.14</t>
  </si>
  <si>
    <t>X-25-047011</t>
  </si>
  <si>
    <t>上海实业交通电器有限公司西安工厂一体化机柜项目</t>
  </si>
  <si>
    <t>2025.04.18</t>
  </si>
  <si>
    <t>X-25-047019</t>
  </si>
  <si>
    <t>中国建设银行股份有限公司江苏省分行南京雨花开发区支行一体化机柜项目</t>
  </si>
  <si>
    <t>2025.04.08</t>
  </si>
  <si>
    <t>2025.05.19</t>
  </si>
  <si>
    <t>X-25-047062</t>
  </si>
  <si>
    <t>上海实业交通电器有限公司深汕特别合作区一体化机柜项目</t>
  </si>
  <si>
    <t>X-25-047103</t>
  </si>
  <si>
    <t>中国建设银行股份有限公司江苏省分行扬州分行大楼营业室一体化机柜项目</t>
  </si>
  <si>
    <t>2025.08.27</t>
  </si>
  <si>
    <t>X-25-046687</t>
  </si>
  <si>
    <t>东鹏饮料（集团）股份有限公司汕尾海丰一体化机柜建设项目</t>
  </si>
  <si>
    <t>2025.07.31</t>
  </si>
  <si>
    <t>X-25-047341</t>
  </si>
  <si>
    <t>广东省专用通信局珠海和佛山地区三级网MiniDC一体化机柜项目（20250512）</t>
  </si>
  <si>
    <t>2025.07.28</t>
  </si>
  <si>
    <t>X-25-047429</t>
  </si>
  <si>
    <t>山西交通控股集团有限公司山西太原一体化机柜项目</t>
  </si>
  <si>
    <t>2025.06.10</t>
  </si>
  <si>
    <t>2025.09.28</t>
  </si>
  <si>
    <t>X-25-047453</t>
  </si>
  <si>
    <t>中国建设银行股份有限公司浙江省分行嘉兴桐乡振兴东路支行一体化机柜项目</t>
  </si>
  <si>
    <t>2025.05.30</t>
  </si>
  <si>
    <t>X-25-047454</t>
  </si>
  <si>
    <t>中国建设银行股份有限公司浙江省分行湖州安吉人民路支行一体化机柜项目</t>
  </si>
  <si>
    <t>X-25-047589</t>
  </si>
  <si>
    <t>安徽曙光东华生态规划院C500采购项目（2025）</t>
  </si>
  <si>
    <t>2025.06.12</t>
  </si>
  <si>
    <t>2025.09.08</t>
  </si>
  <si>
    <t>X-25-047116</t>
  </si>
  <si>
    <t>中国建设银行股份有限公司江苏省分行常州溧阳东平支行一体化机柜项目</t>
  </si>
  <si>
    <t>2025.07.14</t>
  </si>
  <si>
    <t>2025.08.30</t>
  </si>
  <si>
    <t>X-25-047622</t>
  </si>
  <si>
    <t>深信服科技股份有限公司内蒙古鄂尔多斯达拉特经济开发区管委会一体化机柜项目</t>
  </si>
  <si>
    <t>2025.09.29</t>
  </si>
  <si>
    <t>X-25-047623</t>
  </si>
  <si>
    <t>深信服科技股份有限公司辽宁省葫芦岛市北港工业区管委会一体化机柜项目</t>
  </si>
  <si>
    <t>2025.09.10</t>
  </si>
  <si>
    <t>X-25-047645</t>
  </si>
  <si>
    <t>深圳市汇金天源数字技术有限公司澳门MT机房多联柜建设项目</t>
  </si>
  <si>
    <t>2025.06.16</t>
  </si>
  <si>
    <t>2025.09.16</t>
  </si>
  <si>
    <t>X-25-047824</t>
  </si>
  <si>
    <t>中国建设银行股份有限公司江苏省分行常州邹区老街支行一体化机柜项目</t>
  </si>
  <si>
    <t>2025.07.11</t>
  </si>
  <si>
    <t>2025.08.29</t>
  </si>
  <si>
    <t>X-25-047828</t>
  </si>
  <si>
    <t>中国建设银行股份有限公司浙江省分行嘉兴海盐南门支行一体化机柜项目</t>
  </si>
  <si>
    <t>2025.07.25</t>
  </si>
  <si>
    <t>2025.09.12</t>
  </si>
  <si>
    <t>X-25-047897</t>
  </si>
  <si>
    <t>中国建设银行股份有限公司浙江省分行绍兴马臻路支行一体化机柜项目</t>
  </si>
  <si>
    <t>2025.07.18</t>
  </si>
  <si>
    <t>X-24-045671</t>
  </si>
  <si>
    <t>同江市商务和口岸局口岸委同江铁路口岸业务提升采购项目</t>
  </si>
  <si>
    <t>2025.07.01</t>
  </si>
  <si>
    <t>X-25-046406</t>
  </si>
  <si>
    <t>中国邮政储蓄银行股份有限公司深圳分行一体化机柜项目</t>
  </si>
  <si>
    <t>2025.07.15</t>
  </si>
  <si>
    <t>X-25-047827</t>
  </si>
  <si>
    <t>中国建设银行股份有限公司浙江省分行舟山解放支行一体化机柜项目</t>
  </si>
  <si>
    <t>2025.09.27</t>
  </si>
  <si>
    <t>Z</t>
  </si>
  <si>
    <t>质保合同</t>
  </si>
  <si>
    <t>Z-22-017299</t>
  </si>
  <si>
    <t>福建省市场监督管理局（知识产权局）微模块质保期合同（2021.12.30~2022.12.29）</t>
  </si>
  <si>
    <t>2022.01.20</t>
  </si>
  <si>
    <t>X-21-032284</t>
  </si>
  <si>
    <t>Z-24-020899</t>
  </si>
  <si>
    <t>建信人寿苏州分公司营销服务部一体化机柜项目质保合同</t>
  </si>
  <si>
    <t>2024.03.25</t>
  </si>
  <si>
    <t>X-23-041821</t>
  </si>
  <si>
    <t>Z-24-021122</t>
  </si>
  <si>
    <t>曙光西安中国航发动力公司C500单机柜项目质保合同</t>
  </si>
  <si>
    <t>2024.05.11</t>
  </si>
  <si>
    <t>X-23-039003</t>
  </si>
  <si>
    <t>Z-24-021449</t>
  </si>
  <si>
    <t>海康20230330天津人民检察院二分院更换风机采集器项目（2024.05.31~2025.05.30）</t>
  </si>
  <si>
    <t>2024.07.04</t>
  </si>
  <si>
    <t>X-23-039562</t>
  </si>
  <si>
    <t>Z-24-021480</t>
  </si>
  <si>
    <t>华电电力科学研究院数据中心二期微模块项目质保合同</t>
  </si>
  <si>
    <t>2024.07.20</t>
  </si>
  <si>
    <t>X-23-038874</t>
  </si>
  <si>
    <t>Z-24-021588</t>
  </si>
  <si>
    <t>罗森伯格CN-2415-01单机柜采购合同买卖合同质保合同</t>
  </si>
  <si>
    <t>2024.08.09</t>
  </si>
  <si>
    <t>X-24-043551</t>
  </si>
  <si>
    <t>Z-24-021632</t>
  </si>
  <si>
    <t>中信银行股份有限公司一体化机柜采购项目（20240226）</t>
  </si>
  <si>
    <t>2024.08.16</t>
  </si>
  <si>
    <t>X-24-042910</t>
  </si>
  <si>
    <t>Z-24-021659</t>
  </si>
  <si>
    <t>湖南省娄底市国家安全局机房改造项目质保期合同（2024.08.05~2025.08.04）</t>
  </si>
  <si>
    <t>X-23-041665</t>
  </si>
  <si>
    <t>Z-24-021754</t>
  </si>
  <si>
    <t>湖北省武汉市倚天云计算展厅一体化机柜项目（不含空调外机）质保期合同（2024.08.02~2025.08.01）</t>
  </si>
  <si>
    <t>2024.09.10</t>
  </si>
  <si>
    <t>X-24-044677</t>
  </si>
  <si>
    <t>Z-24-021948</t>
  </si>
  <si>
    <t>上海实业交通电器有限公司长沙机房一体化机柜项目质保合同</t>
  </si>
  <si>
    <t>2024.11.13</t>
  </si>
  <si>
    <t>X-24-044591</t>
  </si>
  <si>
    <t>Z-25-022204</t>
  </si>
  <si>
    <t>深圳市深信服科技股份有限公司数据交易一体化机柜项目质保合同</t>
  </si>
  <si>
    <t>2025.01.07</t>
  </si>
  <si>
    <t>X-24-043364</t>
  </si>
  <si>
    <t>Z-25-022219</t>
  </si>
  <si>
    <t>宁波市华裕电器集团有限公司新建机房一体化机柜项目质保合同</t>
  </si>
  <si>
    <t>2025.01.10</t>
  </si>
  <si>
    <t>X-24-044441</t>
  </si>
  <si>
    <t>Z-24-020719</t>
  </si>
  <si>
    <t>广州白云机场T3东4西4指廊项目质保期合同（2023.12.27~2025.12.26）</t>
  </si>
  <si>
    <t>2024.02.18</t>
  </si>
  <si>
    <t>X-22-037773</t>
  </si>
  <si>
    <t>Z-24-021081</t>
  </si>
  <si>
    <t>中国人民解放军海军散点一体化机柜采购项目（19套）（2024.03.18~2026.03.17）</t>
  </si>
  <si>
    <t>2024.05.08</t>
  </si>
  <si>
    <t>X-23-041681</t>
  </si>
  <si>
    <t>Z-24-021630</t>
  </si>
  <si>
    <t>深圳市中信银行股份有限公司一体化机柜项目（20240524）</t>
  </si>
  <si>
    <t>X-24-044015</t>
  </si>
  <si>
    <t>Z-24-021896</t>
  </si>
  <si>
    <t>云尖信息深圳迈瑞生物模块化数据中心微模块扩容项目(2024.10.16~2026.10.15)</t>
  </si>
  <si>
    <t>X-22-037410</t>
  </si>
  <si>
    <t>Z-24-022040</t>
  </si>
  <si>
    <t>中华人民共和国哈尔滨海关鹤岗市萝北海关一体化机柜建设项目（2024.10.30~2025.10.29）</t>
  </si>
  <si>
    <t>2024.12.10</t>
  </si>
  <si>
    <t>X-24-044601</t>
  </si>
  <si>
    <t>Z-25-022535</t>
  </si>
  <si>
    <t>上海浦东发展银行股份有限公司呼和浩特分行锡林路支行一体化机柜项目（2025.02.13~2026.02.12）</t>
  </si>
  <si>
    <t>2025.04.07</t>
  </si>
  <si>
    <t>Z-25-022547</t>
  </si>
  <si>
    <t>南京市中国工商银行股份有限公司江苏省分行一体化机柜采购项目质保合同</t>
  </si>
  <si>
    <t>质保期合同</t>
  </si>
  <si>
    <t>Z-25-022568</t>
  </si>
  <si>
    <t>曙光南昌大学C500单机柜主机替换项目质保合同</t>
  </si>
  <si>
    <t>Z-25-022589</t>
  </si>
  <si>
    <t>澳门特别行政区交通事务局澳门大桥单机柜项目</t>
  </si>
  <si>
    <t>X-24-045393</t>
  </si>
  <si>
    <t>Z-23-019328</t>
  </si>
  <si>
    <t>湖南中伟控股集团中部基地三元一车间一体化机柜项目质保期合同（2023.03.06~2026.03.05）</t>
  </si>
  <si>
    <t>2023.04.18</t>
  </si>
  <si>
    <t>X-22-037800</t>
  </si>
  <si>
    <t>Z-24-021603</t>
  </si>
  <si>
    <t>中信银行一体化机柜采购项目（20231031）买卖合同质保合同</t>
  </si>
  <si>
    <t>2024.08.14</t>
  </si>
  <si>
    <t>X-23-041871</t>
  </si>
  <si>
    <t>Z-25-022564</t>
  </si>
  <si>
    <t>中国建设银行江苏省分行常州金城花苑支行一体化机柜项目质保合同</t>
  </si>
  <si>
    <t>Z-25-022759</t>
  </si>
  <si>
    <t>深圳市深信服科技股份有限公惠州一体化机柜项目</t>
  </si>
  <si>
    <t>X-24-045684</t>
  </si>
  <si>
    <t>Z-25-022792</t>
  </si>
  <si>
    <t>深圳市中信银行一体化机柜及配件项目（20240904）（深圳市中信银行一体化机柜及配件项目（20240904）（2024.11.13~2027.11.12）</t>
  </si>
  <si>
    <t>X-24-045134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</si>
</sst>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43"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105"/>
  <sheetViews>
    <sheetView tabSelected="1" workbookViewId="0">
      <selection activeCell="A30" sqref="$A30:$XFD30"/>
    </sheetView>
  </sheetViews>
  <sheetFormatPr defaultColWidth="9" defaultRowHeight="13.5"/>
  <cols>
    <col min="1" max="3" width="9" style="1"/>
    <col min="4" max="4" width="12.625" style="1" customWidth="1"/>
    <col min="5" max="5" width="79" style="1" customWidth="1"/>
    <col min="6" max="6" width="11.5" style="1" customWidth="1"/>
    <col min="7" max="7" width="16" style="2"/>
    <col min="8" max="8" width="9" style="1"/>
    <col min="9" max="10" width="15.125" style="1" hidden="1" customWidth="1"/>
    <col min="11" max="11" width="16" style="2"/>
    <col min="12" max="12" width="13.75" style="2"/>
    <col min="13" max="13" width="9" style="1"/>
    <col min="14" max="14" width="16" style="2"/>
    <col min="15" max="16" width="13.75" style="2"/>
    <col min="17" max="17" width="14.875" style="2"/>
    <col min="18" max="16384" width="9" style="1"/>
  </cols>
  <sheetData>
    <row r="1" spans="1:18">
      <c r="A1" s="1" t="s">
        <v>0</v>
      </c>
      <c r="B1" s="1" t="s">
        <v>1</v>
      </c>
      <c r="C1" s="1" t="s">
        <v>2</v>
      </c>
      <c r="D1" s="1" t="s">
        <v>3</v>
      </c>
      <c r="E1" s="1" t="s">
        <v>4</v>
      </c>
      <c r="F1" s="1" t="s">
        <v>5</v>
      </c>
      <c r="G1" s="2" t="s">
        <v>6</v>
      </c>
      <c r="H1" s="1" t="s">
        <v>7</v>
      </c>
      <c r="I1" s="1" t="s">
        <v>8</v>
      </c>
      <c r="J1" s="1" t="s">
        <v>9</v>
      </c>
      <c r="K1" s="2" t="s">
        <v>10</v>
      </c>
      <c r="L1" s="2" t="s">
        <v>11</v>
      </c>
      <c r="M1" s="1" t="s">
        <v>12</v>
      </c>
      <c r="N1" s="2" t="s">
        <v>13</v>
      </c>
      <c r="O1" s="2" t="s">
        <v>14</v>
      </c>
      <c r="P1" s="2" t="s">
        <v>15</v>
      </c>
      <c r="Q1" s="2" t="s">
        <v>16</v>
      </c>
      <c r="R1" s="1" t="s">
        <v>17</v>
      </c>
    </row>
    <row r="2" spans="1:17">
      <c r="A2" s="1" t="s">
        <v>18</v>
      </c>
      <c r="B2" s="1" t="s">
        <v>19</v>
      </c>
      <c r="C2" s="1" t="s">
        <v>20</v>
      </c>
      <c r="D2" s="1" t="s">
        <v>21</v>
      </c>
      <c r="E2" s="1" t="s">
        <v>22</v>
      </c>
      <c r="F2" s="1" t="s">
        <v>23</v>
      </c>
      <c r="G2" s="2">
        <v>82784</v>
      </c>
      <c r="H2" s="1" t="s">
        <v>24</v>
      </c>
      <c r="K2" s="2">
        <v>73260.18</v>
      </c>
      <c r="L2" s="2">
        <v>0</v>
      </c>
      <c r="M2" s="1" t="s">
        <v>25</v>
      </c>
      <c r="N2" s="2">
        <v>62353.750552976</v>
      </c>
      <c r="O2" s="2">
        <v>0</v>
      </c>
      <c r="P2" s="2">
        <v>1143.8</v>
      </c>
      <c r="Q2" s="2">
        <f t="shared" ref="Q2:Q65" si="0">+K2-L2-N2-O2-P2</f>
        <v>9762.62944702399</v>
      </c>
    </row>
    <row r="3" spans="1:17">
      <c r="A3" s="1" t="s">
        <v>26</v>
      </c>
      <c r="B3" s="1" t="s">
        <v>19</v>
      </c>
      <c r="C3" s="1" t="s">
        <v>20</v>
      </c>
      <c r="D3" s="1" t="s">
        <v>27</v>
      </c>
      <c r="E3" s="1" t="s">
        <v>28</v>
      </c>
      <c r="F3" s="1" t="s">
        <v>29</v>
      </c>
      <c r="G3" s="2">
        <v>198047.99</v>
      </c>
      <c r="H3" s="1" t="s">
        <v>24</v>
      </c>
      <c r="K3" s="2">
        <v>175263.71</v>
      </c>
      <c r="L3" s="2">
        <v>0</v>
      </c>
      <c r="M3" s="1" t="s">
        <v>25</v>
      </c>
      <c r="N3" s="2">
        <v>134348.586492051</v>
      </c>
      <c r="O3" s="2">
        <v>0</v>
      </c>
      <c r="P3" s="2">
        <v>0</v>
      </c>
      <c r="Q3" s="2">
        <f t="shared" si="0"/>
        <v>40915.123507949</v>
      </c>
    </row>
    <row r="4" spans="1:17">
      <c r="A4" s="1" t="s">
        <v>18</v>
      </c>
      <c r="B4" s="1" t="s">
        <v>19</v>
      </c>
      <c r="C4" s="1" t="s">
        <v>20</v>
      </c>
      <c r="D4" s="1" t="s">
        <v>30</v>
      </c>
      <c r="E4" s="1" t="s">
        <v>31</v>
      </c>
      <c r="F4" s="1" t="s">
        <v>32</v>
      </c>
      <c r="G4" s="2">
        <v>30144</v>
      </c>
      <c r="H4" s="1" t="s">
        <v>24</v>
      </c>
      <c r="K4" s="2">
        <v>26676.11</v>
      </c>
      <c r="L4" s="2">
        <v>0</v>
      </c>
      <c r="M4" s="1" t="s">
        <v>25</v>
      </c>
      <c r="N4" s="2">
        <v>16405.2496952387</v>
      </c>
      <c r="O4" s="2">
        <v>0</v>
      </c>
      <c r="P4" s="2">
        <v>0</v>
      </c>
      <c r="Q4" s="2">
        <f t="shared" si="0"/>
        <v>10270.8603047613</v>
      </c>
    </row>
    <row r="5" spans="1:17">
      <c r="A5" s="1" t="s">
        <v>26</v>
      </c>
      <c r="B5" s="1" t="s">
        <v>19</v>
      </c>
      <c r="C5" s="1" t="s">
        <v>20</v>
      </c>
      <c r="D5" s="1" t="s">
        <v>33</v>
      </c>
      <c r="E5" s="1" t="s">
        <v>34</v>
      </c>
      <c r="F5" s="1" t="s">
        <v>32</v>
      </c>
      <c r="G5" s="2">
        <v>172291.4</v>
      </c>
      <c r="H5" s="1" t="s">
        <v>24</v>
      </c>
      <c r="K5" s="2">
        <v>152470.27</v>
      </c>
      <c r="L5" s="2">
        <v>0</v>
      </c>
      <c r="M5" s="1" t="s">
        <v>25</v>
      </c>
      <c r="N5" s="2">
        <v>79103.6821615351</v>
      </c>
      <c r="O5" s="2">
        <v>0</v>
      </c>
      <c r="P5" s="2">
        <v>27</v>
      </c>
      <c r="Q5" s="2">
        <f t="shared" si="0"/>
        <v>73339.5878384649</v>
      </c>
    </row>
    <row r="6" spans="1:17">
      <c r="A6" s="1" t="s">
        <v>18</v>
      </c>
      <c r="B6" s="1" t="s">
        <v>19</v>
      </c>
      <c r="C6" s="1" t="s">
        <v>20</v>
      </c>
      <c r="D6" s="1" t="s">
        <v>35</v>
      </c>
      <c r="E6" s="1" t="s">
        <v>36</v>
      </c>
      <c r="F6" s="1" t="s">
        <v>37</v>
      </c>
      <c r="G6" s="2">
        <v>51122</v>
      </c>
      <c r="H6" s="1" t="s">
        <v>24</v>
      </c>
      <c r="K6" s="2">
        <v>45240.71</v>
      </c>
      <c r="L6" s="2">
        <v>0</v>
      </c>
      <c r="M6" s="1" t="s">
        <v>25</v>
      </c>
      <c r="N6" s="2">
        <v>34504.4752556462</v>
      </c>
      <c r="O6" s="2">
        <v>0</v>
      </c>
      <c r="P6" s="2">
        <v>917.5</v>
      </c>
      <c r="Q6" s="2">
        <f t="shared" si="0"/>
        <v>9818.7347443538</v>
      </c>
    </row>
    <row r="7" spans="1:17">
      <c r="A7" s="1" t="s">
        <v>26</v>
      </c>
      <c r="B7" s="1" t="s">
        <v>19</v>
      </c>
      <c r="C7" s="1" t="s">
        <v>20</v>
      </c>
      <c r="D7" s="1" t="s">
        <v>38</v>
      </c>
      <c r="E7" s="1" t="s">
        <v>39</v>
      </c>
      <c r="F7" s="1" t="s">
        <v>40</v>
      </c>
      <c r="G7" s="2">
        <v>273399.31</v>
      </c>
      <c r="H7" s="1" t="s">
        <v>24</v>
      </c>
      <c r="K7" s="2">
        <v>241946.29</v>
      </c>
      <c r="L7" s="2">
        <v>0</v>
      </c>
      <c r="M7" s="1" t="s">
        <v>25</v>
      </c>
      <c r="N7" s="2">
        <v>187202.96890463</v>
      </c>
      <c r="O7" s="2">
        <v>7201.2528446407</v>
      </c>
      <c r="P7" s="2">
        <v>7978.1</v>
      </c>
      <c r="Q7" s="2">
        <f t="shared" si="0"/>
        <v>39563.9682507293</v>
      </c>
    </row>
    <row r="8" spans="1:17">
      <c r="A8" s="1" t="s">
        <v>18</v>
      </c>
      <c r="B8" s="1" t="s">
        <v>19</v>
      </c>
      <c r="C8" s="1" t="s">
        <v>20</v>
      </c>
      <c r="D8" s="1" t="s">
        <v>41</v>
      </c>
      <c r="E8" s="1" t="s">
        <v>42</v>
      </c>
      <c r="F8" s="1" t="s">
        <v>43</v>
      </c>
      <c r="G8" s="2">
        <v>25956</v>
      </c>
      <c r="H8" s="1" t="s">
        <v>24</v>
      </c>
      <c r="K8" s="2">
        <v>22969.91</v>
      </c>
      <c r="L8" s="2">
        <v>0</v>
      </c>
      <c r="M8" s="1" t="s">
        <v>25</v>
      </c>
      <c r="N8" s="2">
        <v>8990.48081562914</v>
      </c>
      <c r="O8" s="2">
        <v>0</v>
      </c>
      <c r="P8" s="2">
        <v>0</v>
      </c>
      <c r="Q8" s="2">
        <f t="shared" si="0"/>
        <v>13979.4291843709</v>
      </c>
    </row>
    <row r="9" spans="1:17">
      <c r="A9" s="1" t="s">
        <v>18</v>
      </c>
      <c r="B9" s="1" t="s">
        <v>19</v>
      </c>
      <c r="C9" s="1" t="s">
        <v>20</v>
      </c>
      <c r="D9" s="1" t="s">
        <v>44</v>
      </c>
      <c r="E9" s="1" t="s">
        <v>45</v>
      </c>
      <c r="F9" s="1" t="s">
        <v>40</v>
      </c>
      <c r="G9" s="2">
        <v>6108.3</v>
      </c>
      <c r="H9" s="1" t="s">
        <v>24</v>
      </c>
      <c r="K9" s="2">
        <v>5405.58</v>
      </c>
      <c r="L9" s="2">
        <v>0</v>
      </c>
      <c r="M9" s="1" t="s">
        <v>25</v>
      </c>
      <c r="N9" s="2">
        <v>2785.69181328265</v>
      </c>
      <c r="O9" s="2">
        <v>0</v>
      </c>
      <c r="P9" s="2">
        <v>972</v>
      </c>
      <c r="Q9" s="2">
        <f t="shared" si="0"/>
        <v>1647.88818671735</v>
      </c>
    </row>
    <row r="10" spans="1:17">
      <c r="A10" s="1" t="s">
        <v>18</v>
      </c>
      <c r="B10" s="1" t="s">
        <v>19</v>
      </c>
      <c r="C10" s="1" t="s">
        <v>20</v>
      </c>
      <c r="D10" s="1" t="s">
        <v>46</v>
      </c>
      <c r="E10" s="1" t="s">
        <v>47</v>
      </c>
      <c r="F10" s="1" t="s">
        <v>48</v>
      </c>
      <c r="G10" s="2">
        <v>3300</v>
      </c>
      <c r="H10" s="1" t="s">
        <v>24</v>
      </c>
      <c r="K10" s="2">
        <v>2920.35</v>
      </c>
      <c r="L10" s="2">
        <v>0</v>
      </c>
      <c r="M10" s="1" t="s">
        <v>25</v>
      </c>
      <c r="N10" s="2">
        <v>1103.03973446866</v>
      </c>
      <c r="O10" s="2">
        <v>0</v>
      </c>
      <c r="P10" s="2">
        <v>0</v>
      </c>
      <c r="Q10" s="2">
        <f t="shared" si="0"/>
        <v>1817.31026553134</v>
      </c>
    </row>
    <row r="11" spans="1:17">
      <c r="A11" s="1" t="s">
        <v>18</v>
      </c>
      <c r="B11" s="1" t="s">
        <v>19</v>
      </c>
      <c r="C11" s="1" t="s">
        <v>20</v>
      </c>
      <c r="D11" s="1" t="s">
        <v>49</v>
      </c>
      <c r="E11" s="1" t="s">
        <v>50</v>
      </c>
      <c r="F11" s="1" t="s">
        <v>51</v>
      </c>
      <c r="G11" s="2">
        <v>22200</v>
      </c>
      <c r="H11" s="1" t="s">
        <v>24</v>
      </c>
      <c r="K11" s="2">
        <v>19646.02</v>
      </c>
      <c r="L11" s="2">
        <v>0</v>
      </c>
      <c r="M11" s="1" t="s">
        <v>25</v>
      </c>
      <c r="N11" s="2">
        <v>13378.377380601</v>
      </c>
      <c r="O11" s="2">
        <v>0</v>
      </c>
      <c r="P11" s="2">
        <v>833.8</v>
      </c>
      <c r="Q11" s="2">
        <f t="shared" si="0"/>
        <v>5433.842619399</v>
      </c>
    </row>
    <row r="12" spans="1:17">
      <c r="A12" s="1" t="s">
        <v>18</v>
      </c>
      <c r="B12" s="1" t="s">
        <v>19</v>
      </c>
      <c r="C12" s="1" t="s">
        <v>20</v>
      </c>
      <c r="D12" s="1" t="s">
        <v>52</v>
      </c>
      <c r="E12" s="1" t="s">
        <v>53</v>
      </c>
      <c r="F12" s="1" t="s">
        <v>54</v>
      </c>
      <c r="G12" s="2">
        <v>8526</v>
      </c>
      <c r="H12" s="1" t="s">
        <v>24</v>
      </c>
      <c r="K12" s="2">
        <v>7545.13</v>
      </c>
      <c r="L12" s="2">
        <v>0</v>
      </c>
      <c r="M12" s="1" t="s">
        <v>25</v>
      </c>
      <c r="N12" s="2">
        <v>3517.72111086329</v>
      </c>
      <c r="O12" s="2">
        <v>0</v>
      </c>
      <c r="P12" s="2">
        <v>0</v>
      </c>
      <c r="Q12" s="2">
        <f t="shared" si="0"/>
        <v>4027.40888913671</v>
      </c>
    </row>
    <row r="13" spans="1:17">
      <c r="A13" s="1" t="s">
        <v>18</v>
      </c>
      <c r="B13" s="1" t="s">
        <v>19</v>
      </c>
      <c r="C13" s="1" t="s">
        <v>20</v>
      </c>
      <c r="D13" s="1" t="s">
        <v>55</v>
      </c>
      <c r="E13" s="1" t="s">
        <v>56</v>
      </c>
      <c r="F13" s="1" t="s">
        <v>57</v>
      </c>
      <c r="G13" s="2">
        <v>3943</v>
      </c>
      <c r="H13" s="1" t="s">
        <v>24</v>
      </c>
      <c r="K13" s="2">
        <v>3489.38</v>
      </c>
      <c r="L13" s="2">
        <v>0</v>
      </c>
      <c r="M13" s="1" t="s">
        <v>25</v>
      </c>
      <c r="N13" s="2">
        <v>2247.14585635053</v>
      </c>
      <c r="O13" s="2">
        <v>0</v>
      </c>
      <c r="P13" s="2">
        <v>13</v>
      </c>
      <c r="Q13" s="2">
        <f t="shared" si="0"/>
        <v>1229.23414364947</v>
      </c>
    </row>
    <row r="14" spans="1:17">
      <c r="A14" s="1" t="s">
        <v>18</v>
      </c>
      <c r="B14" s="1" t="s">
        <v>19</v>
      </c>
      <c r="C14" s="1" t="s">
        <v>20</v>
      </c>
      <c r="D14" s="1" t="s">
        <v>58</v>
      </c>
      <c r="E14" s="1" t="s">
        <v>59</v>
      </c>
      <c r="F14" s="1" t="s">
        <v>60</v>
      </c>
      <c r="G14" s="2">
        <v>2100</v>
      </c>
      <c r="H14" s="1" t="s">
        <v>24</v>
      </c>
      <c r="K14" s="2">
        <v>1858.41</v>
      </c>
      <c r="L14" s="2">
        <v>0</v>
      </c>
      <c r="M14" s="1" t="s">
        <v>25</v>
      </c>
      <c r="N14" s="2">
        <v>1022.96582988854</v>
      </c>
      <c r="O14" s="2">
        <v>0</v>
      </c>
      <c r="P14" s="2">
        <v>1892.8</v>
      </c>
      <c r="Q14" s="2">
        <f t="shared" si="0"/>
        <v>-1057.35582988854</v>
      </c>
    </row>
    <row r="15" spans="1:17">
      <c r="A15" s="1" t="s">
        <v>18</v>
      </c>
      <c r="B15" s="1" t="s">
        <v>19</v>
      </c>
      <c r="C15" s="1" t="s">
        <v>20</v>
      </c>
      <c r="D15" s="1" t="s">
        <v>61</v>
      </c>
      <c r="E15" s="1" t="s">
        <v>62</v>
      </c>
      <c r="F15" s="1" t="s">
        <v>63</v>
      </c>
      <c r="G15" s="2">
        <v>4560</v>
      </c>
      <c r="H15" s="1" t="s">
        <v>24</v>
      </c>
      <c r="K15" s="2">
        <v>4035.4</v>
      </c>
      <c r="L15" s="2">
        <v>0</v>
      </c>
      <c r="M15" s="1" t="s">
        <v>25</v>
      </c>
      <c r="N15" s="2">
        <v>2159.57322337327</v>
      </c>
      <c r="O15" s="2">
        <v>0</v>
      </c>
      <c r="P15" s="2">
        <v>0</v>
      </c>
      <c r="Q15" s="2">
        <f t="shared" si="0"/>
        <v>1875.82677662673</v>
      </c>
    </row>
    <row r="16" spans="1:17">
      <c r="A16" s="1" t="s">
        <v>18</v>
      </c>
      <c r="B16" s="1" t="s">
        <v>19</v>
      </c>
      <c r="C16" s="1" t="s">
        <v>20</v>
      </c>
      <c r="D16" s="1" t="s">
        <v>64</v>
      </c>
      <c r="E16" s="1" t="s">
        <v>65</v>
      </c>
      <c r="F16" s="1" t="s">
        <v>66</v>
      </c>
      <c r="G16" s="2">
        <v>200000</v>
      </c>
      <c r="H16" s="1" t="s">
        <v>24</v>
      </c>
      <c r="K16" s="2">
        <v>176991.15</v>
      </c>
      <c r="L16" s="2">
        <v>0</v>
      </c>
      <c r="M16" s="1" t="s">
        <v>25</v>
      </c>
      <c r="N16" s="2">
        <v>132907.06850362</v>
      </c>
      <c r="O16" s="2">
        <v>0</v>
      </c>
      <c r="P16" s="2">
        <v>2582.6</v>
      </c>
      <c r="Q16" s="2">
        <f t="shared" si="0"/>
        <v>41501.48149638</v>
      </c>
    </row>
    <row r="17" spans="1:17">
      <c r="A17" s="1" t="s">
        <v>26</v>
      </c>
      <c r="B17" s="1" t="s">
        <v>19</v>
      </c>
      <c r="C17" s="1" t="s">
        <v>20</v>
      </c>
      <c r="D17" s="1" t="s">
        <v>67</v>
      </c>
      <c r="E17" s="1" t="s">
        <v>68</v>
      </c>
      <c r="F17" s="1" t="s">
        <v>69</v>
      </c>
      <c r="G17" s="2">
        <v>125988.3</v>
      </c>
      <c r="H17" s="1" t="s">
        <v>24</v>
      </c>
      <c r="K17" s="2">
        <v>111494.07</v>
      </c>
      <c r="L17" s="2">
        <v>0</v>
      </c>
      <c r="M17" s="1" t="s">
        <v>25</v>
      </c>
      <c r="N17" s="2">
        <v>87915.9294058402</v>
      </c>
      <c r="O17" s="2">
        <v>10697.8149194951</v>
      </c>
      <c r="P17" s="2">
        <v>3390</v>
      </c>
      <c r="Q17" s="2">
        <f t="shared" si="0"/>
        <v>9490.32567466471</v>
      </c>
    </row>
    <row r="18" spans="1:17">
      <c r="A18" s="1" t="s">
        <v>26</v>
      </c>
      <c r="B18" s="1" t="s">
        <v>19</v>
      </c>
      <c r="C18" s="1" t="s">
        <v>20</v>
      </c>
      <c r="D18" s="1" t="s">
        <v>70</v>
      </c>
      <c r="E18" s="1" t="s">
        <v>71</v>
      </c>
      <c r="F18" s="1" t="s">
        <v>72</v>
      </c>
      <c r="G18" s="2">
        <v>24000</v>
      </c>
      <c r="H18" s="1" t="s">
        <v>24</v>
      </c>
      <c r="K18" s="2">
        <v>21238.94</v>
      </c>
      <c r="L18" s="2">
        <v>0</v>
      </c>
      <c r="M18" s="1" t="s">
        <v>25</v>
      </c>
      <c r="N18" s="2">
        <v>12772.1309255691</v>
      </c>
      <c r="O18" s="2">
        <v>3330.059118909</v>
      </c>
      <c r="P18" s="2">
        <v>1051.4</v>
      </c>
      <c r="Q18" s="2">
        <f t="shared" si="0"/>
        <v>4085.3499555219</v>
      </c>
    </row>
    <row r="19" spans="1:17">
      <c r="A19" s="1" t="s">
        <v>18</v>
      </c>
      <c r="B19" s="1" t="s">
        <v>19</v>
      </c>
      <c r="C19" s="1" t="s">
        <v>20</v>
      </c>
      <c r="D19" s="1" t="s">
        <v>73</v>
      </c>
      <c r="E19" s="1" t="s">
        <v>74</v>
      </c>
      <c r="F19" s="1" t="s">
        <v>69</v>
      </c>
      <c r="G19" s="2">
        <v>52720</v>
      </c>
      <c r="H19" s="1" t="s">
        <v>24</v>
      </c>
      <c r="K19" s="2">
        <v>46654.87</v>
      </c>
      <c r="L19" s="2">
        <v>0</v>
      </c>
      <c r="M19" s="1" t="s">
        <v>25</v>
      </c>
      <c r="N19" s="2">
        <v>34964.4611831793</v>
      </c>
      <c r="O19" s="2">
        <v>0</v>
      </c>
      <c r="P19" s="2">
        <v>0</v>
      </c>
      <c r="Q19" s="2">
        <f t="shared" si="0"/>
        <v>11690.4088168207</v>
      </c>
    </row>
    <row r="20" spans="1:17">
      <c r="A20" s="1" t="s">
        <v>18</v>
      </c>
      <c r="B20" s="1" t="s">
        <v>19</v>
      </c>
      <c r="C20" s="1" t="s">
        <v>20</v>
      </c>
      <c r="D20" s="1" t="s">
        <v>75</v>
      </c>
      <c r="E20" s="1" t="s">
        <v>76</v>
      </c>
      <c r="F20" s="1" t="s">
        <v>77</v>
      </c>
      <c r="G20" s="2">
        <v>3800</v>
      </c>
      <c r="H20" s="1" t="s">
        <v>24</v>
      </c>
      <c r="K20" s="2">
        <v>3362.83</v>
      </c>
      <c r="L20" s="2">
        <v>0</v>
      </c>
      <c r="M20" s="1" t="s">
        <v>25</v>
      </c>
      <c r="N20" s="2">
        <v>1679.10961089017</v>
      </c>
      <c r="O20" s="2">
        <v>0</v>
      </c>
      <c r="P20" s="2">
        <v>244.2</v>
      </c>
      <c r="Q20" s="2">
        <f t="shared" si="0"/>
        <v>1439.52038910983</v>
      </c>
    </row>
    <row r="21" spans="1:17">
      <c r="A21" s="1" t="s">
        <v>26</v>
      </c>
      <c r="B21" s="1" t="s">
        <v>19</v>
      </c>
      <c r="C21" s="1" t="s">
        <v>20</v>
      </c>
      <c r="D21" s="1" t="s">
        <v>78</v>
      </c>
      <c r="E21" s="1" t="s">
        <v>79</v>
      </c>
      <c r="F21" s="1" t="s">
        <v>80</v>
      </c>
      <c r="G21" s="2">
        <v>11750.05</v>
      </c>
      <c r="H21" s="1" t="s">
        <v>24</v>
      </c>
      <c r="K21" s="2">
        <v>10398.27</v>
      </c>
      <c r="L21" s="2">
        <v>0</v>
      </c>
      <c r="M21" s="1" t="s">
        <v>25</v>
      </c>
      <c r="N21" s="2">
        <v>6153.75122374028</v>
      </c>
      <c r="O21" s="2">
        <v>0</v>
      </c>
      <c r="P21" s="2">
        <v>0</v>
      </c>
      <c r="Q21" s="2">
        <f t="shared" si="0"/>
        <v>4244.51877625972</v>
      </c>
    </row>
    <row r="22" spans="1:17">
      <c r="A22" s="1" t="s">
        <v>18</v>
      </c>
      <c r="B22" s="1" t="s">
        <v>19</v>
      </c>
      <c r="C22" s="1" t="s">
        <v>20</v>
      </c>
      <c r="D22" s="1" t="s">
        <v>81</v>
      </c>
      <c r="E22" s="1" t="s">
        <v>82</v>
      </c>
      <c r="F22" s="1" t="s">
        <v>83</v>
      </c>
      <c r="G22" s="2">
        <v>1900</v>
      </c>
      <c r="H22" s="1" t="s">
        <v>24</v>
      </c>
      <c r="K22" s="2">
        <v>1681.42</v>
      </c>
      <c r="L22" s="2">
        <v>0</v>
      </c>
      <c r="M22" s="1" t="s">
        <v>25</v>
      </c>
      <c r="N22" s="2">
        <v>839.554805445085</v>
      </c>
      <c r="O22" s="2">
        <v>0</v>
      </c>
      <c r="P22" s="2">
        <v>0</v>
      </c>
      <c r="Q22" s="2">
        <f t="shared" si="0"/>
        <v>841.865194554915</v>
      </c>
    </row>
    <row r="23" spans="1:17">
      <c r="A23" s="1" t="s">
        <v>26</v>
      </c>
      <c r="B23" s="1" t="s">
        <v>19</v>
      </c>
      <c r="C23" s="1" t="s">
        <v>20</v>
      </c>
      <c r="D23" s="1" t="s">
        <v>84</v>
      </c>
      <c r="E23" s="1" t="s">
        <v>85</v>
      </c>
      <c r="F23" s="1" t="s">
        <v>86</v>
      </c>
      <c r="G23" s="2">
        <v>5500</v>
      </c>
      <c r="H23" s="1" t="s">
        <v>24</v>
      </c>
      <c r="K23" s="2">
        <v>4867.26</v>
      </c>
      <c r="L23" s="2">
        <v>0</v>
      </c>
      <c r="M23" s="1" t="s">
        <v>25</v>
      </c>
      <c r="N23" s="2">
        <v>0</v>
      </c>
      <c r="O23" s="2">
        <v>867.305495480408</v>
      </c>
      <c r="P23" s="2">
        <v>33.8124909364191</v>
      </c>
      <c r="Q23" s="2">
        <f t="shared" si="0"/>
        <v>3966.14201358317</v>
      </c>
    </row>
    <row r="24" spans="1:17">
      <c r="A24" s="1" t="s">
        <v>26</v>
      </c>
      <c r="B24" s="1" t="s">
        <v>87</v>
      </c>
      <c r="C24" s="1" t="s">
        <v>88</v>
      </c>
      <c r="D24" s="1" t="s">
        <v>89</v>
      </c>
      <c r="E24" s="1" t="s">
        <v>90</v>
      </c>
      <c r="F24" s="1" t="s">
        <v>91</v>
      </c>
      <c r="G24" s="2">
        <v>758620.69</v>
      </c>
      <c r="H24" s="1" t="s">
        <v>24</v>
      </c>
      <c r="I24" s="1" t="s">
        <v>92</v>
      </c>
      <c r="K24" s="2">
        <v>663809.28</v>
      </c>
      <c r="L24" s="2">
        <v>33190.464</v>
      </c>
      <c r="M24" s="1" t="s">
        <v>25</v>
      </c>
      <c r="N24" s="2">
        <v>344914.132731943</v>
      </c>
      <c r="O24" s="2">
        <v>7986.81302044362</v>
      </c>
      <c r="P24" s="2">
        <v>190512.161472468</v>
      </c>
      <c r="Q24" s="2">
        <f t="shared" si="0"/>
        <v>87205.7087751454</v>
      </c>
    </row>
    <row r="25" spans="1:17">
      <c r="A25" s="1" t="s">
        <v>26</v>
      </c>
      <c r="B25" s="1" t="s">
        <v>87</v>
      </c>
      <c r="C25" s="1" t="s">
        <v>88</v>
      </c>
      <c r="D25" s="1" t="s">
        <v>93</v>
      </c>
      <c r="E25" s="1" t="s">
        <v>94</v>
      </c>
      <c r="F25" s="1" t="s">
        <v>95</v>
      </c>
      <c r="G25" s="2">
        <v>80000</v>
      </c>
      <c r="H25" s="1" t="s">
        <v>24</v>
      </c>
      <c r="I25" s="1" t="s">
        <v>96</v>
      </c>
      <c r="K25" s="2">
        <v>70796.46</v>
      </c>
      <c r="L25" s="2">
        <v>3539.823</v>
      </c>
      <c r="M25" s="1" t="s">
        <v>25</v>
      </c>
      <c r="N25" s="2">
        <v>61995.0121375483</v>
      </c>
      <c r="O25" s="2">
        <v>34872.6359542686</v>
      </c>
      <c r="P25" s="2">
        <v>4709.29147638105</v>
      </c>
      <c r="Q25" s="2">
        <f t="shared" si="0"/>
        <v>-34320.3025681979</v>
      </c>
    </row>
    <row r="26" spans="1:17">
      <c r="A26" s="1" t="s">
        <v>26</v>
      </c>
      <c r="B26" s="1" t="s">
        <v>87</v>
      </c>
      <c r="C26" s="1" t="s">
        <v>88</v>
      </c>
      <c r="D26" s="1" t="s">
        <v>97</v>
      </c>
      <c r="E26" s="1" t="s">
        <v>98</v>
      </c>
      <c r="F26" s="1" t="s">
        <v>99</v>
      </c>
      <c r="G26" s="2">
        <v>0</v>
      </c>
      <c r="H26" s="1" t="s">
        <v>24</v>
      </c>
      <c r="I26" s="1" t="s">
        <v>63</v>
      </c>
      <c r="K26" s="2">
        <v>0</v>
      </c>
      <c r="L26" s="2">
        <v>0</v>
      </c>
      <c r="M26" s="1" t="s">
        <v>25</v>
      </c>
      <c r="N26" s="2">
        <v>1.84020788044188e-12</v>
      </c>
      <c r="O26" s="2">
        <v>5733.43235993895</v>
      </c>
      <c r="P26" s="2">
        <v>-58.3582045963367</v>
      </c>
      <c r="Q26" s="2">
        <f t="shared" si="0"/>
        <v>-5675.07415534262</v>
      </c>
    </row>
    <row r="27" spans="1:17">
      <c r="A27" s="1" t="s">
        <v>26</v>
      </c>
      <c r="B27" s="1" t="s">
        <v>87</v>
      </c>
      <c r="C27" s="1" t="s">
        <v>100</v>
      </c>
      <c r="D27" s="1" t="s">
        <v>101</v>
      </c>
      <c r="E27" s="1" t="s">
        <v>102</v>
      </c>
      <c r="F27" s="1" t="s">
        <v>103</v>
      </c>
      <c r="G27" s="2">
        <v>78907</v>
      </c>
      <c r="H27" s="1" t="s">
        <v>24</v>
      </c>
      <c r="I27" s="1" t="s">
        <v>104</v>
      </c>
      <c r="K27" s="2">
        <v>69829.2100000001</v>
      </c>
      <c r="L27" s="2">
        <v>3491.4605</v>
      </c>
      <c r="M27" s="1" t="s">
        <v>25</v>
      </c>
      <c r="N27" s="2">
        <v>21256.9027727887</v>
      </c>
      <c r="O27" s="2">
        <v>31536.3072374989</v>
      </c>
      <c r="P27" s="2">
        <v>28760.3846248419</v>
      </c>
      <c r="Q27" s="2">
        <f t="shared" si="0"/>
        <v>-15215.8451351294</v>
      </c>
    </row>
    <row r="28" spans="1:17">
      <c r="A28" s="1" t="s">
        <v>26</v>
      </c>
      <c r="B28" s="1" t="s">
        <v>87</v>
      </c>
      <c r="C28" s="1" t="s">
        <v>88</v>
      </c>
      <c r="D28" s="1" t="s">
        <v>105</v>
      </c>
      <c r="E28" s="1" t="s">
        <v>106</v>
      </c>
      <c r="F28" s="1" t="s">
        <v>107</v>
      </c>
      <c r="G28" s="2">
        <v>2392504.6</v>
      </c>
      <c r="H28" s="1" t="s">
        <v>24</v>
      </c>
      <c r="I28" s="1" t="s">
        <v>108</v>
      </c>
      <c r="K28" s="2">
        <v>2117260.71</v>
      </c>
      <c r="L28" s="2">
        <v>105863.0355</v>
      </c>
      <c r="M28" s="1" t="s">
        <v>25</v>
      </c>
      <c r="N28" s="2">
        <v>1283583.44145311</v>
      </c>
      <c r="O28" s="2">
        <v>45889.880435436</v>
      </c>
      <c r="P28" s="2">
        <v>299170.567705762</v>
      </c>
      <c r="Q28" s="2">
        <f t="shared" si="0"/>
        <v>382753.784905692</v>
      </c>
    </row>
    <row r="29" spans="1:17">
      <c r="A29" s="1" t="s">
        <v>26</v>
      </c>
      <c r="B29" s="1" t="s">
        <v>87</v>
      </c>
      <c r="C29" s="1" t="s">
        <v>88</v>
      </c>
      <c r="D29" s="1" t="s">
        <v>109</v>
      </c>
      <c r="E29" s="1" t="s">
        <v>110</v>
      </c>
      <c r="F29" s="1" t="s">
        <v>111</v>
      </c>
      <c r="G29" s="2">
        <v>0</v>
      </c>
      <c r="H29" s="1" t="s">
        <v>24</v>
      </c>
      <c r="I29" s="1" t="s">
        <v>112</v>
      </c>
      <c r="K29" s="2">
        <v>0</v>
      </c>
      <c r="L29" s="2">
        <v>0</v>
      </c>
      <c r="M29" s="1" t="s">
        <v>25</v>
      </c>
      <c r="N29" s="2">
        <v>-27.4170512733091</v>
      </c>
      <c r="O29" s="2">
        <v>16.0988347667358</v>
      </c>
      <c r="P29" s="2">
        <v>255.775694343738</v>
      </c>
      <c r="Q29" s="2">
        <f t="shared" si="0"/>
        <v>-244.457477837165</v>
      </c>
    </row>
    <row r="30" spans="1:17">
      <c r="A30" s="1" t="s">
        <v>26</v>
      </c>
      <c r="B30" s="1" t="s">
        <v>87</v>
      </c>
      <c r="C30" s="1" t="s">
        <v>88</v>
      </c>
      <c r="D30" s="1" t="s">
        <v>113</v>
      </c>
      <c r="E30" s="1" t="s">
        <v>114</v>
      </c>
      <c r="F30" s="1" t="s">
        <v>115</v>
      </c>
      <c r="G30" s="2">
        <v>1039367</v>
      </c>
      <c r="H30" s="1" t="s">
        <v>24</v>
      </c>
      <c r="I30" s="1" t="s">
        <v>116</v>
      </c>
      <c r="K30" s="2">
        <v>919793.81</v>
      </c>
      <c r="L30" s="2">
        <v>45989.6905</v>
      </c>
      <c r="M30" s="1" t="s">
        <v>25</v>
      </c>
      <c r="N30" s="2">
        <v>634021.637500033</v>
      </c>
      <c r="O30" s="2">
        <v>143053.529648895</v>
      </c>
      <c r="P30" s="2">
        <v>130547.720806845</v>
      </c>
      <c r="Q30" s="2">
        <f t="shared" si="0"/>
        <v>-33818.768455773</v>
      </c>
    </row>
    <row r="31" spans="1:17">
      <c r="A31" s="1" t="s">
        <v>26</v>
      </c>
      <c r="B31" s="1" t="s">
        <v>87</v>
      </c>
      <c r="C31" s="1" t="s">
        <v>88</v>
      </c>
      <c r="D31" s="1" t="s">
        <v>117</v>
      </c>
      <c r="E31" s="1" t="s">
        <v>118</v>
      </c>
      <c r="F31" s="1" t="s">
        <v>119</v>
      </c>
      <c r="G31" s="2">
        <v>1395000</v>
      </c>
      <c r="H31" s="1" t="s">
        <v>24</v>
      </c>
      <c r="I31" s="1" t="s">
        <v>120</v>
      </c>
      <c r="K31" s="2">
        <v>1234513.27</v>
      </c>
      <c r="L31" s="2">
        <v>61725.6635</v>
      </c>
      <c r="M31" s="1" t="s">
        <v>25</v>
      </c>
      <c r="N31" s="2">
        <v>780448.615374786</v>
      </c>
      <c r="O31" s="2">
        <v>3216.69939673194</v>
      </c>
      <c r="P31" s="2">
        <v>95817.8362530327</v>
      </c>
      <c r="Q31" s="2">
        <f t="shared" si="0"/>
        <v>293304.455475449</v>
      </c>
    </row>
    <row r="32" spans="1:17">
      <c r="A32" s="1" t="s">
        <v>26</v>
      </c>
      <c r="B32" s="1" t="s">
        <v>87</v>
      </c>
      <c r="C32" s="1" t="s">
        <v>88</v>
      </c>
      <c r="D32" s="1" t="s">
        <v>121</v>
      </c>
      <c r="E32" s="1" t="s">
        <v>122</v>
      </c>
      <c r="F32" s="1" t="s">
        <v>123</v>
      </c>
      <c r="G32" s="2">
        <v>1138411.73</v>
      </c>
      <c r="H32" s="1" t="s">
        <v>124</v>
      </c>
      <c r="I32" s="1" t="s">
        <v>125</v>
      </c>
      <c r="K32" s="2">
        <v>13805.48</v>
      </c>
      <c r="L32" s="2">
        <v>690.274</v>
      </c>
      <c r="M32" s="1" t="s">
        <v>25</v>
      </c>
      <c r="N32" s="2">
        <v>22357.6555198898</v>
      </c>
      <c r="O32" s="2">
        <v>6008.0851349458</v>
      </c>
      <c r="P32" s="2">
        <v>324005.879129083</v>
      </c>
      <c r="Q32" s="2">
        <f t="shared" si="0"/>
        <v>-339256.413783919</v>
      </c>
    </row>
    <row r="33" spans="1:17">
      <c r="A33" s="1" t="s">
        <v>26</v>
      </c>
      <c r="B33" s="1" t="s">
        <v>87</v>
      </c>
      <c r="C33" s="1" t="e">
        <v>#N/A</v>
      </c>
      <c r="D33" s="1" t="s">
        <v>126</v>
      </c>
      <c r="E33" s="1" t="s">
        <v>127</v>
      </c>
      <c r="F33" s="1" t="s">
        <v>128</v>
      </c>
      <c r="G33" s="2">
        <v>70000</v>
      </c>
      <c r="H33" s="1" t="s">
        <v>24</v>
      </c>
      <c r="I33" s="1" t="s">
        <v>129</v>
      </c>
      <c r="K33" s="2">
        <v>61946.9</v>
      </c>
      <c r="L33" s="2">
        <v>3097.345</v>
      </c>
      <c r="M33" s="1" t="s">
        <v>25</v>
      </c>
      <c r="N33" s="2">
        <v>17050.0413766647</v>
      </c>
      <c r="O33" s="2">
        <v>4337.51350084104</v>
      </c>
      <c r="P33" s="2">
        <v>5321.96070960596</v>
      </c>
      <c r="Q33" s="2">
        <f t="shared" si="0"/>
        <v>32140.0394128883</v>
      </c>
    </row>
    <row r="34" spans="1:17">
      <c r="A34" s="1" t="s">
        <v>18</v>
      </c>
      <c r="B34" s="1" t="s">
        <v>87</v>
      </c>
      <c r="C34" s="1" t="s">
        <v>100</v>
      </c>
      <c r="D34" s="1" t="s">
        <v>130</v>
      </c>
      <c r="E34" s="1" t="s">
        <v>131</v>
      </c>
      <c r="F34" s="1" t="s">
        <v>132</v>
      </c>
      <c r="G34" s="2">
        <v>481000</v>
      </c>
      <c r="H34" s="1" t="s">
        <v>24</v>
      </c>
      <c r="I34" s="1" t="s">
        <v>133</v>
      </c>
      <c r="K34" s="2">
        <v>430884.96</v>
      </c>
      <c r="L34" s="2">
        <v>21544.248</v>
      </c>
      <c r="M34" s="1" t="s">
        <v>25</v>
      </c>
      <c r="N34" s="2">
        <v>209512.785023737</v>
      </c>
      <c r="O34" s="2">
        <v>19753.8889524361</v>
      </c>
      <c r="P34" s="2">
        <v>11511.2657733122</v>
      </c>
      <c r="Q34" s="2">
        <f t="shared" si="0"/>
        <v>168562.772250515</v>
      </c>
    </row>
    <row r="35" spans="1:17">
      <c r="A35" s="1" t="s">
        <v>26</v>
      </c>
      <c r="B35" s="1" t="s">
        <v>87</v>
      </c>
      <c r="C35" s="1" t="s">
        <v>88</v>
      </c>
      <c r="D35" s="1" t="s">
        <v>134</v>
      </c>
      <c r="E35" s="1" t="s">
        <v>135</v>
      </c>
      <c r="F35" s="1" t="s">
        <v>136</v>
      </c>
      <c r="G35" s="2">
        <v>253965</v>
      </c>
      <c r="H35" s="1" t="s">
        <v>24</v>
      </c>
      <c r="I35" s="1" t="s">
        <v>137</v>
      </c>
      <c r="J35" s="1" t="s">
        <v>138</v>
      </c>
      <c r="K35" s="2">
        <v>224747.79</v>
      </c>
      <c r="L35" s="2">
        <v>11237.3895</v>
      </c>
      <c r="M35" s="1" t="s">
        <v>25</v>
      </c>
      <c r="N35" s="2">
        <v>114161.602563303</v>
      </c>
      <c r="O35" s="2">
        <v>13249.9418474434</v>
      </c>
      <c r="P35" s="2">
        <v>36491.1435681802</v>
      </c>
      <c r="Q35" s="2">
        <f t="shared" si="0"/>
        <v>49607.7125210734</v>
      </c>
    </row>
    <row r="36" spans="1:17">
      <c r="A36" s="1" t="s">
        <v>26</v>
      </c>
      <c r="B36" s="1" t="s">
        <v>87</v>
      </c>
      <c r="C36" s="1" t="s">
        <v>100</v>
      </c>
      <c r="D36" s="1" t="s">
        <v>139</v>
      </c>
      <c r="E36" s="1" t="s">
        <v>140</v>
      </c>
      <c r="F36" s="1" t="s">
        <v>141</v>
      </c>
      <c r="G36" s="2">
        <v>71025</v>
      </c>
      <c r="H36" s="1" t="s">
        <v>24</v>
      </c>
      <c r="I36" s="1" t="s">
        <v>142</v>
      </c>
      <c r="K36" s="2">
        <v>62402.65</v>
      </c>
      <c r="L36" s="2">
        <v>3120.1325</v>
      </c>
      <c r="M36" s="1" t="s">
        <v>25</v>
      </c>
      <c r="N36" s="2">
        <v>26785.6417119871</v>
      </c>
      <c r="O36" s="2">
        <v>14869.668532686</v>
      </c>
      <c r="P36" s="2">
        <v>3322.91293684723</v>
      </c>
      <c r="Q36" s="2">
        <f t="shared" si="0"/>
        <v>14304.2943184797</v>
      </c>
    </row>
    <row r="37" spans="1:17">
      <c r="A37" s="1" t="s">
        <v>26</v>
      </c>
      <c r="B37" s="1" t="s">
        <v>87</v>
      </c>
      <c r="C37" s="1" t="s">
        <v>100</v>
      </c>
      <c r="D37" s="1" t="s">
        <v>143</v>
      </c>
      <c r="E37" s="1" t="s">
        <v>144</v>
      </c>
      <c r="F37" s="1" t="s">
        <v>141</v>
      </c>
      <c r="G37" s="2">
        <v>71025</v>
      </c>
      <c r="H37" s="1" t="s">
        <v>24</v>
      </c>
      <c r="I37" s="1" t="s">
        <v>116</v>
      </c>
      <c r="K37" s="2">
        <v>62402.65</v>
      </c>
      <c r="L37" s="2">
        <v>3120.1325</v>
      </c>
      <c r="M37" s="1" t="s">
        <v>25</v>
      </c>
      <c r="N37" s="2">
        <v>26524.2883377338</v>
      </c>
      <c r="O37" s="2">
        <v>10605.4112650332</v>
      </c>
      <c r="P37" s="2">
        <v>4657.7909123342</v>
      </c>
      <c r="Q37" s="2">
        <f t="shared" si="0"/>
        <v>17495.0269848988</v>
      </c>
    </row>
    <row r="38" spans="1:17">
      <c r="A38" s="1" t="s">
        <v>26</v>
      </c>
      <c r="B38" s="1" t="s">
        <v>87</v>
      </c>
      <c r="C38" s="1" t="s">
        <v>100</v>
      </c>
      <c r="D38" s="1" t="s">
        <v>145</v>
      </c>
      <c r="E38" s="1" t="s">
        <v>146</v>
      </c>
      <c r="F38" s="1" t="s">
        <v>141</v>
      </c>
      <c r="G38" s="2">
        <v>71025</v>
      </c>
      <c r="H38" s="1" t="s">
        <v>24</v>
      </c>
      <c r="I38" s="1" t="s">
        <v>147</v>
      </c>
      <c r="K38" s="2">
        <v>62402.65</v>
      </c>
      <c r="L38" s="2">
        <v>3120.1325</v>
      </c>
      <c r="M38" s="1" t="s">
        <v>25</v>
      </c>
      <c r="N38" s="2">
        <v>25955.975345396</v>
      </c>
      <c r="O38" s="2">
        <v>4250.09237841826</v>
      </c>
      <c r="P38" s="2">
        <v>6531.18330674683</v>
      </c>
      <c r="Q38" s="2">
        <f t="shared" si="0"/>
        <v>22545.2664694389</v>
      </c>
    </row>
    <row r="39" spans="1:17">
      <c r="A39" s="1" t="s">
        <v>26</v>
      </c>
      <c r="B39" s="1" t="s">
        <v>87</v>
      </c>
      <c r="C39" s="1" t="s">
        <v>148</v>
      </c>
      <c r="D39" s="1" t="s">
        <v>149</v>
      </c>
      <c r="E39" s="1" t="s">
        <v>150</v>
      </c>
      <c r="F39" s="1" t="s">
        <v>151</v>
      </c>
      <c r="G39" s="2">
        <v>131090.71</v>
      </c>
      <c r="H39" s="1" t="s">
        <v>24</v>
      </c>
      <c r="I39" s="1" t="s">
        <v>152</v>
      </c>
      <c r="K39" s="2">
        <v>116009.48</v>
      </c>
      <c r="L39" s="2">
        <v>5800.474</v>
      </c>
      <c r="M39" s="1" t="s">
        <v>25</v>
      </c>
      <c r="N39" s="2">
        <v>76220.8046248358</v>
      </c>
      <c r="O39" s="2">
        <v>13981.5570479242</v>
      </c>
      <c r="P39" s="2">
        <v>33.8124909364191</v>
      </c>
      <c r="Q39" s="2">
        <f t="shared" si="0"/>
        <v>19972.8318363036</v>
      </c>
    </row>
    <row r="40" spans="1:17">
      <c r="A40" s="1" t="s">
        <v>26</v>
      </c>
      <c r="B40" s="1" t="s">
        <v>87</v>
      </c>
      <c r="C40" s="1" t="s">
        <v>153</v>
      </c>
      <c r="D40" s="1" t="s">
        <v>154</v>
      </c>
      <c r="E40" s="1" t="s">
        <v>155</v>
      </c>
      <c r="F40" s="1" t="s">
        <v>156</v>
      </c>
      <c r="G40" s="2">
        <v>6157</v>
      </c>
      <c r="H40" s="1" t="s">
        <v>24</v>
      </c>
      <c r="I40" s="1" t="s">
        <v>142</v>
      </c>
      <c r="K40" s="2">
        <v>5448.67</v>
      </c>
      <c r="L40" s="2">
        <v>272.4335</v>
      </c>
      <c r="M40" s="1" t="s">
        <v>25</v>
      </c>
      <c r="N40" s="2">
        <v>1501.33714729074</v>
      </c>
      <c r="O40" s="2">
        <v>129.478014950479</v>
      </c>
      <c r="P40" s="2">
        <v>800.983901779282</v>
      </c>
      <c r="Q40" s="2">
        <f t="shared" si="0"/>
        <v>2744.4374359795</v>
      </c>
    </row>
    <row r="41" spans="1:17">
      <c r="A41" s="1" t="s">
        <v>26</v>
      </c>
      <c r="B41" s="1" t="s">
        <v>87</v>
      </c>
      <c r="C41" s="1" t="s">
        <v>88</v>
      </c>
      <c r="D41" s="1" t="s">
        <v>157</v>
      </c>
      <c r="E41" s="1" t="s">
        <v>158</v>
      </c>
      <c r="F41" s="1" t="s">
        <v>159</v>
      </c>
      <c r="G41" s="2">
        <v>95500</v>
      </c>
      <c r="H41" s="1" t="s">
        <v>24</v>
      </c>
      <c r="I41" s="1" t="s">
        <v>160</v>
      </c>
      <c r="K41" s="2">
        <v>84513.27</v>
      </c>
      <c r="L41" s="2">
        <v>4225.6635</v>
      </c>
      <c r="M41" s="1" t="s">
        <v>25</v>
      </c>
      <c r="N41" s="2">
        <v>45987.5414644905</v>
      </c>
      <c r="O41" s="2">
        <v>5312.61547302282</v>
      </c>
      <c r="P41" s="2">
        <v>21511.4191334335</v>
      </c>
      <c r="Q41" s="2">
        <f t="shared" si="0"/>
        <v>7476.03042905319</v>
      </c>
    </row>
    <row r="42" spans="1:17">
      <c r="A42" s="1" t="s">
        <v>26</v>
      </c>
      <c r="B42" s="1" t="s">
        <v>87</v>
      </c>
      <c r="C42" s="1" t="s">
        <v>100</v>
      </c>
      <c r="D42" s="1" t="s">
        <v>161</v>
      </c>
      <c r="E42" s="1" t="s">
        <v>162</v>
      </c>
      <c r="F42" s="1" t="s">
        <v>163</v>
      </c>
      <c r="G42" s="2">
        <v>71025</v>
      </c>
      <c r="H42" s="1" t="s">
        <v>24</v>
      </c>
      <c r="I42" s="1" t="s">
        <v>142</v>
      </c>
      <c r="K42" s="2">
        <v>62402.65</v>
      </c>
      <c r="L42" s="2">
        <v>3120.1325</v>
      </c>
      <c r="M42" s="1" t="s">
        <v>25</v>
      </c>
      <c r="N42" s="2">
        <v>27329.0790680295</v>
      </c>
      <c r="O42" s="2">
        <v>16092.2449446218</v>
      </c>
      <c r="P42" s="2">
        <v>4582.92863762112</v>
      </c>
      <c r="Q42" s="2">
        <f t="shared" si="0"/>
        <v>11278.2648497276</v>
      </c>
    </row>
    <row r="43" spans="1:17">
      <c r="A43" s="1" t="s">
        <v>26</v>
      </c>
      <c r="B43" s="1" t="s">
        <v>87</v>
      </c>
      <c r="C43" s="1" t="s">
        <v>100</v>
      </c>
      <c r="D43" s="1" t="s">
        <v>164</v>
      </c>
      <c r="E43" s="1" t="s">
        <v>165</v>
      </c>
      <c r="F43" s="1" t="s">
        <v>163</v>
      </c>
      <c r="G43" s="2">
        <v>59472</v>
      </c>
      <c r="H43" s="1" t="s">
        <v>24</v>
      </c>
      <c r="I43" s="1" t="s">
        <v>116</v>
      </c>
      <c r="K43" s="2">
        <v>52630.09</v>
      </c>
      <c r="L43" s="2">
        <v>2631.5045</v>
      </c>
      <c r="M43" s="1" t="s">
        <v>25</v>
      </c>
      <c r="N43" s="2">
        <v>22104.9719274847</v>
      </c>
      <c r="O43" s="2">
        <v>4776.52427529051</v>
      </c>
      <c r="P43" s="2">
        <v>3305.41851178706</v>
      </c>
      <c r="Q43" s="2">
        <f t="shared" si="0"/>
        <v>19811.6707854377</v>
      </c>
    </row>
    <row r="44" spans="1:17">
      <c r="A44" s="1" t="s">
        <v>26</v>
      </c>
      <c r="B44" s="1" t="s">
        <v>87</v>
      </c>
      <c r="C44" s="1" t="s">
        <v>100</v>
      </c>
      <c r="D44" s="1" t="s">
        <v>166</v>
      </c>
      <c r="E44" s="1" t="s">
        <v>167</v>
      </c>
      <c r="F44" s="1" t="s">
        <v>163</v>
      </c>
      <c r="G44" s="2">
        <v>59472</v>
      </c>
      <c r="H44" s="1" t="s">
        <v>24</v>
      </c>
      <c r="I44" s="1" t="s">
        <v>116</v>
      </c>
      <c r="K44" s="2">
        <v>52630.09</v>
      </c>
      <c r="L44" s="2">
        <v>2631.5045</v>
      </c>
      <c r="M44" s="1" t="s">
        <v>25</v>
      </c>
      <c r="N44" s="2">
        <v>22116.9132666662</v>
      </c>
      <c r="O44" s="2">
        <v>9847.6572268123</v>
      </c>
      <c r="P44" s="2">
        <v>3465.11223006453</v>
      </c>
      <c r="Q44" s="2">
        <f t="shared" si="0"/>
        <v>14568.902776457</v>
      </c>
    </row>
    <row r="45" spans="1:17">
      <c r="A45" s="1" t="s">
        <v>26</v>
      </c>
      <c r="B45" s="1" t="s">
        <v>87</v>
      </c>
      <c r="C45" s="1" t="s">
        <v>148</v>
      </c>
      <c r="D45" s="1" t="s">
        <v>168</v>
      </c>
      <c r="E45" s="1" t="s">
        <v>169</v>
      </c>
      <c r="F45" s="1" t="s">
        <v>170</v>
      </c>
      <c r="G45" s="2">
        <v>99442</v>
      </c>
      <c r="H45" s="1" t="s">
        <v>24</v>
      </c>
      <c r="I45" s="1" t="s">
        <v>171</v>
      </c>
      <c r="K45" s="2">
        <v>88001.77</v>
      </c>
      <c r="L45" s="2">
        <v>4400.0885</v>
      </c>
      <c r="M45" s="1" t="s">
        <v>25</v>
      </c>
      <c r="N45" s="2">
        <v>47665.2986802188</v>
      </c>
      <c r="O45" s="2">
        <v>21544.9865380041</v>
      </c>
      <c r="P45" s="2">
        <v>1451.39860406166</v>
      </c>
      <c r="Q45" s="2">
        <f t="shared" si="0"/>
        <v>12939.9976777154</v>
      </c>
    </row>
    <row r="46" spans="1:17">
      <c r="A46" s="1" t="s">
        <v>26</v>
      </c>
      <c r="B46" s="1" t="s">
        <v>87</v>
      </c>
      <c r="C46" s="1" t="s">
        <v>100</v>
      </c>
      <c r="D46" s="1" t="s">
        <v>172</v>
      </c>
      <c r="E46" s="1" t="s">
        <v>173</v>
      </c>
      <c r="F46" s="1" t="s">
        <v>174</v>
      </c>
      <c r="G46" s="2">
        <v>71025</v>
      </c>
      <c r="H46" s="1" t="s">
        <v>24</v>
      </c>
      <c r="I46" s="1" t="s">
        <v>142</v>
      </c>
      <c r="K46" s="2">
        <v>62402.65</v>
      </c>
      <c r="L46" s="2">
        <v>3120.1325</v>
      </c>
      <c r="M46" s="1" t="s">
        <v>25</v>
      </c>
      <c r="N46" s="2">
        <v>26854.4521478002</v>
      </c>
      <c r="O46" s="2">
        <v>6251.84658402623</v>
      </c>
      <c r="P46" s="2">
        <v>4076.51618160537</v>
      </c>
      <c r="Q46" s="2">
        <f t="shared" si="0"/>
        <v>22099.7025865682</v>
      </c>
    </row>
    <row r="47" spans="1:17">
      <c r="A47" s="1" t="s">
        <v>18</v>
      </c>
      <c r="B47" s="1" t="s">
        <v>87</v>
      </c>
      <c r="C47" s="1" t="s">
        <v>88</v>
      </c>
      <c r="D47" s="1" t="s">
        <v>175</v>
      </c>
      <c r="E47" s="1" t="s">
        <v>176</v>
      </c>
      <c r="F47" s="1" t="s">
        <v>177</v>
      </c>
      <c r="G47" s="2">
        <v>12756</v>
      </c>
      <c r="H47" s="1" t="s">
        <v>24</v>
      </c>
      <c r="I47" s="1" t="s">
        <v>178</v>
      </c>
      <c r="J47" s="1" t="s">
        <v>178</v>
      </c>
      <c r="K47" s="2">
        <v>11288.5</v>
      </c>
      <c r="L47" s="2">
        <v>564.425</v>
      </c>
      <c r="M47" s="1" t="s">
        <v>25</v>
      </c>
      <c r="N47" s="2">
        <v>6267.96955472924</v>
      </c>
      <c r="O47" s="2">
        <v>1287.90678133886</v>
      </c>
      <c r="P47" s="2">
        <v>1350.05554749904</v>
      </c>
      <c r="Q47" s="2">
        <f t="shared" si="0"/>
        <v>1818.14311643286</v>
      </c>
    </row>
    <row r="48" spans="1:17">
      <c r="A48" s="1" t="s">
        <v>26</v>
      </c>
      <c r="B48" s="1" t="s">
        <v>87</v>
      </c>
      <c r="C48" s="1" t="s">
        <v>100</v>
      </c>
      <c r="D48" s="1" t="s">
        <v>179</v>
      </c>
      <c r="E48" s="1" t="s">
        <v>180</v>
      </c>
      <c r="F48" s="1" t="s">
        <v>128</v>
      </c>
      <c r="G48" s="2">
        <v>539862</v>
      </c>
      <c r="H48" s="1" t="s">
        <v>24</v>
      </c>
      <c r="I48" s="1" t="s">
        <v>181</v>
      </c>
      <c r="K48" s="2">
        <v>477753.98</v>
      </c>
      <c r="L48" s="2">
        <v>23887.699</v>
      </c>
      <c r="M48" s="1" t="s">
        <v>25</v>
      </c>
      <c r="N48" s="2">
        <v>187681.676421903</v>
      </c>
      <c r="O48" s="2">
        <v>40253.772752861</v>
      </c>
      <c r="P48" s="2">
        <v>40566.525886521</v>
      </c>
      <c r="Q48" s="2">
        <f t="shared" si="0"/>
        <v>185364.305938715</v>
      </c>
    </row>
    <row r="49" spans="1:17">
      <c r="A49" s="1" t="s">
        <v>26</v>
      </c>
      <c r="B49" s="1" t="s">
        <v>87</v>
      </c>
      <c r="C49" s="1" t="s">
        <v>148</v>
      </c>
      <c r="D49" s="1" t="s">
        <v>182</v>
      </c>
      <c r="E49" s="1" t="s">
        <v>183</v>
      </c>
      <c r="F49" s="1" t="s">
        <v>184</v>
      </c>
      <c r="G49" s="2">
        <v>14396</v>
      </c>
      <c r="H49" s="1" t="s">
        <v>24</v>
      </c>
      <c r="I49" s="1" t="s">
        <v>60</v>
      </c>
      <c r="K49" s="2">
        <v>12739.82</v>
      </c>
      <c r="L49" s="2">
        <v>636.991</v>
      </c>
      <c r="M49" s="1" t="s">
        <v>25</v>
      </c>
      <c r="N49" s="2">
        <v>6965.29933833462</v>
      </c>
      <c r="O49" s="2">
        <v>0</v>
      </c>
      <c r="P49" s="2">
        <v>2315</v>
      </c>
      <c r="Q49" s="2">
        <f t="shared" si="0"/>
        <v>2822.52966166538</v>
      </c>
    </row>
    <row r="50" spans="1:17">
      <c r="A50" s="1" t="s">
        <v>26</v>
      </c>
      <c r="B50" s="1" t="s">
        <v>87</v>
      </c>
      <c r="C50" s="1" t="e">
        <v>#N/A</v>
      </c>
      <c r="D50" s="1" t="s">
        <v>185</v>
      </c>
      <c r="E50" s="1" t="s">
        <v>186</v>
      </c>
      <c r="F50" s="1" t="s">
        <v>171</v>
      </c>
      <c r="G50" s="2">
        <v>3661385.7</v>
      </c>
      <c r="H50" s="1" t="s">
        <v>24</v>
      </c>
      <c r="I50" s="1" t="s">
        <v>187</v>
      </c>
      <c r="K50" s="2">
        <v>3240164.34</v>
      </c>
      <c r="L50" s="2">
        <v>162008.217</v>
      </c>
      <c r="M50" s="1" t="s">
        <v>25</v>
      </c>
      <c r="N50" s="2">
        <v>1861162.06356109</v>
      </c>
      <c r="O50" s="2">
        <v>197700.451586213</v>
      </c>
      <c r="P50" s="2">
        <v>154070.294661007</v>
      </c>
      <c r="Q50" s="2">
        <f t="shared" si="0"/>
        <v>865223.31319169</v>
      </c>
    </row>
    <row r="51" spans="1:17">
      <c r="A51" s="1" t="s">
        <v>18</v>
      </c>
      <c r="B51" s="1" t="s">
        <v>87</v>
      </c>
      <c r="C51" s="1" t="s">
        <v>88</v>
      </c>
      <c r="D51" s="1" t="s">
        <v>188</v>
      </c>
      <c r="E51" s="1" t="s">
        <v>189</v>
      </c>
      <c r="F51" s="1" t="s">
        <v>190</v>
      </c>
      <c r="G51" s="2">
        <v>450000</v>
      </c>
      <c r="H51" s="1" t="s">
        <v>24</v>
      </c>
      <c r="I51" s="1" t="s">
        <v>191</v>
      </c>
      <c r="J51" s="1" t="s">
        <v>191</v>
      </c>
      <c r="K51" s="2">
        <v>398230.09</v>
      </c>
      <c r="L51" s="2">
        <v>19911.5045</v>
      </c>
      <c r="M51" s="1" t="s">
        <v>25</v>
      </c>
      <c r="N51" s="2">
        <v>235560.35076265</v>
      </c>
      <c r="O51" s="2">
        <v>22258.383514814</v>
      </c>
      <c r="P51" s="2">
        <v>33269.8510877472</v>
      </c>
      <c r="Q51" s="2">
        <f t="shared" si="0"/>
        <v>87230.0001347889</v>
      </c>
    </row>
    <row r="52" spans="1:17">
      <c r="A52" s="1" t="s">
        <v>26</v>
      </c>
      <c r="B52" s="1" t="s">
        <v>87</v>
      </c>
      <c r="C52" s="1" t="s">
        <v>100</v>
      </c>
      <c r="D52" s="1" t="s">
        <v>192</v>
      </c>
      <c r="E52" s="1" t="s">
        <v>193</v>
      </c>
      <c r="F52" s="1" t="s">
        <v>194</v>
      </c>
      <c r="G52" s="2">
        <v>71025</v>
      </c>
      <c r="H52" s="1" t="s">
        <v>24</v>
      </c>
      <c r="I52" s="1" t="s">
        <v>195</v>
      </c>
      <c r="K52" s="2">
        <v>62402.65</v>
      </c>
      <c r="L52" s="2">
        <v>3120.1325</v>
      </c>
      <c r="M52" s="1" t="s">
        <v>25</v>
      </c>
      <c r="N52" s="2">
        <v>27892.4437370768</v>
      </c>
      <c r="O52" s="2">
        <v>12039.0878233448</v>
      </c>
      <c r="P52" s="2">
        <v>7927.27221174875</v>
      </c>
      <c r="Q52" s="2">
        <f t="shared" si="0"/>
        <v>11423.7137278297</v>
      </c>
    </row>
    <row r="53" spans="1:17">
      <c r="A53" s="1" t="s">
        <v>26</v>
      </c>
      <c r="B53" s="1" t="s">
        <v>87</v>
      </c>
      <c r="C53" s="1" t="s">
        <v>100</v>
      </c>
      <c r="D53" s="1" t="s">
        <v>196</v>
      </c>
      <c r="E53" s="1" t="s">
        <v>197</v>
      </c>
      <c r="F53" s="1" t="s">
        <v>198</v>
      </c>
      <c r="G53" s="2">
        <v>59472</v>
      </c>
      <c r="H53" s="1" t="s">
        <v>24</v>
      </c>
      <c r="I53" s="1" t="s">
        <v>199</v>
      </c>
      <c r="K53" s="2">
        <v>52630.09</v>
      </c>
      <c r="L53" s="2">
        <v>2631.5045</v>
      </c>
      <c r="M53" s="1" t="s">
        <v>25</v>
      </c>
      <c r="N53" s="2">
        <v>22629.3355598939</v>
      </c>
      <c r="O53" s="2">
        <v>4604.26674328645</v>
      </c>
      <c r="P53" s="2">
        <v>7898.73858230907</v>
      </c>
      <c r="Q53" s="2">
        <f t="shared" si="0"/>
        <v>14866.2446145106</v>
      </c>
    </row>
    <row r="54" spans="1:17">
      <c r="A54" s="1" t="s">
        <v>26</v>
      </c>
      <c r="B54" s="1" t="s">
        <v>87</v>
      </c>
      <c r="C54" s="1" t="s">
        <v>100</v>
      </c>
      <c r="D54" s="1" t="s">
        <v>200</v>
      </c>
      <c r="E54" s="1" t="s">
        <v>201</v>
      </c>
      <c r="F54" s="1" t="s">
        <v>202</v>
      </c>
      <c r="G54" s="2">
        <v>127190</v>
      </c>
      <c r="H54" s="1" t="s">
        <v>24</v>
      </c>
      <c r="I54" s="1" t="s">
        <v>203</v>
      </c>
      <c r="K54" s="2">
        <v>112557.52</v>
      </c>
      <c r="L54" s="2">
        <v>5627.876</v>
      </c>
      <c r="M54" s="1" t="s">
        <v>25</v>
      </c>
      <c r="N54" s="2">
        <v>26605.276410579</v>
      </c>
      <c r="O54" s="2">
        <v>5748.54909094025</v>
      </c>
      <c r="P54" s="2">
        <v>10409.3827657736</v>
      </c>
      <c r="Q54" s="2">
        <f t="shared" si="0"/>
        <v>64166.4357327072</v>
      </c>
    </row>
    <row r="55" spans="1:17">
      <c r="A55" s="1" t="s">
        <v>26</v>
      </c>
      <c r="B55" s="1" t="s">
        <v>87</v>
      </c>
      <c r="C55" s="1" t="s">
        <v>100</v>
      </c>
      <c r="D55" s="1" t="s">
        <v>204</v>
      </c>
      <c r="E55" s="1" t="s">
        <v>205</v>
      </c>
      <c r="F55" s="1" t="s">
        <v>206</v>
      </c>
      <c r="G55" s="2">
        <v>71025</v>
      </c>
      <c r="H55" s="1" t="s">
        <v>24</v>
      </c>
      <c r="I55" s="1" t="s">
        <v>92</v>
      </c>
      <c r="K55" s="2">
        <v>62402.65</v>
      </c>
      <c r="L55" s="2">
        <v>3120.1325</v>
      </c>
      <c r="M55" s="1" t="s">
        <v>25</v>
      </c>
      <c r="N55" s="2">
        <v>25929.3008647047</v>
      </c>
      <c r="O55" s="2">
        <v>1287.90678133886</v>
      </c>
      <c r="P55" s="2">
        <v>7219.25554749904</v>
      </c>
      <c r="Q55" s="2">
        <f t="shared" si="0"/>
        <v>24846.0543064574</v>
      </c>
    </row>
    <row r="56" spans="1:17">
      <c r="A56" s="1" t="s">
        <v>26</v>
      </c>
      <c r="B56" s="1" t="s">
        <v>87</v>
      </c>
      <c r="C56" s="1" t="s">
        <v>100</v>
      </c>
      <c r="D56" s="1" t="s">
        <v>207</v>
      </c>
      <c r="E56" s="1" t="s">
        <v>208</v>
      </c>
      <c r="F56" s="1" t="s">
        <v>170</v>
      </c>
      <c r="G56" s="2">
        <v>130000</v>
      </c>
      <c r="H56" s="1" t="s">
        <v>24</v>
      </c>
      <c r="I56" s="1" t="s">
        <v>96</v>
      </c>
      <c r="K56" s="2">
        <v>115044.25</v>
      </c>
      <c r="L56" s="2">
        <v>5752.2125</v>
      </c>
      <c r="M56" s="1" t="s">
        <v>25</v>
      </c>
      <c r="N56" s="2">
        <v>53137.8666274617</v>
      </c>
      <c r="O56" s="2">
        <v>4475.83369148628</v>
      </c>
      <c r="P56" s="2">
        <v>6863.79582668671</v>
      </c>
      <c r="Q56" s="2">
        <f t="shared" si="0"/>
        <v>44814.5413543653</v>
      </c>
    </row>
    <row r="57" spans="1:17">
      <c r="A57" s="1" t="s">
        <v>26</v>
      </c>
      <c r="B57" s="1" t="s">
        <v>87</v>
      </c>
      <c r="C57" s="1" t="s">
        <v>148</v>
      </c>
      <c r="D57" s="1" t="s">
        <v>209</v>
      </c>
      <c r="E57" s="1" t="s">
        <v>210</v>
      </c>
      <c r="F57" s="1" t="s">
        <v>211</v>
      </c>
      <c r="G57" s="2">
        <v>1220461.9</v>
      </c>
      <c r="H57" s="1" t="s">
        <v>24</v>
      </c>
      <c r="I57" s="1" t="s">
        <v>212</v>
      </c>
      <c r="K57" s="2">
        <v>1080054.78</v>
      </c>
      <c r="L57" s="2">
        <v>54002.739</v>
      </c>
      <c r="M57" s="1" t="s">
        <v>25</v>
      </c>
      <c r="N57" s="2">
        <v>629913.511658414</v>
      </c>
      <c r="O57" s="2">
        <v>11301.3820062486</v>
      </c>
      <c r="P57" s="2">
        <v>55500.6374293041</v>
      </c>
      <c r="Q57" s="2">
        <f t="shared" si="0"/>
        <v>329336.509906033</v>
      </c>
    </row>
    <row r="58" spans="1:17">
      <c r="A58" s="1" t="s">
        <v>26</v>
      </c>
      <c r="B58" s="1" t="s">
        <v>87</v>
      </c>
      <c r="C58" s="1" t="s">
        <v>148</v>
      </c>
      <c r="D58" s="1" t="s">
        <v>213</v>
      </c>
      <c r="E58" s="1" t="s">
        <v>214</v>
      </c>
      <c r="F58" s="1" t="s">
        <v>48</v>
      </c>
      <c r="G58" s="2">
        <v>57430.47</v>
      </c>
      <c r="H58" s="1" t="s">
        <v>24</v>
      </c>
      <c r="I58" s="1" t="s">
        <v>215</v>
      </c>
      <c r="K58" s="2">
        <v>50823.42</v>
      </c>
      <c r="L58" s="2">
        <v>2541.171</v>
      </c>
      <c r="M58" s="1" t="s">
        <v>25</v>
      </c>
      <c r="N58" s="2">
        <v>26912.5728873442</v>
      </c>
      <c r="O58" s="2">
        <v>4215.940021147</v>
      </c>
      <c r="P58" s="2">
        <v>2084.01666424971</v>
      </c>
      <c r="Q58" s="2">
        <f t="shared" si="0"/>
        <v>15069.7194272591</v>
      </c>
    </row>
    <row r="59" spans="1:17">
      <c r="A59" s="1" t="s">
        <v>18</v>
      </c>
      <c r="B59" s="1" t="s">
        <v>87</v>
      </c>
      <c r="C59" s="1" t="s">
        <v>88</v>
      </c>
      <c r="D59" s="1" t="s">
        <v>216</v>
      </c>
      <c r="E59" s="1" t="s">
        <v>217</v>
      </c>
      <c r="F59" s="1" t="s">
        <v>57</v>
      </c>
      <c r="G59" s="2">
        <v>30000</v>
      </c>
      <c r="H59" s="1" t="s">
        <v>24</v>
      </c>
      <c r="I59" s="1" t="s">
        <v>218</v>
      </c>
      <c r="K59" s="2">
        <v>26548.67</v>
      </c>
      <c r="L59" s="2">
        <v>1327.4335</v>
      </c>
      <c r="M59" s="1" t="s">
        <v>25</v>
      </c>
      <c r="N59" s="2">
        <v>10674.586214617</v>
      </c>
      <c r="O59" s="2">
        <v>3141.49772985118</v>
      </c>
      <c r="P59" s="2">
        <v>1591.45777374952</v>
      </c>
      <c r="Q59" s="2">
        <f t="shared" si="0"/>
        <v>9813.6947817823</v>
      </c>
    </row>
    <row r="60" spans="1:17">
      <c r="A60" s="1" t="s">
        <v>18</v>
      </c>
      <c r="B60" s="1" t="s">
        <v>87</v>
      </c>
      <c r="C60" s="1" t="s">
        <v>88</v>
      </c>
      <c r="D60" s="1" t="s">
        <v>219</v>
      </c>
      <c r="E60" s="1" t="s">
        <v>220</v>
      </c>
      <c r="F60" s="1" t="s">
        <v>221</v>
      </c>
      <c r="G60" s="2">
        <v>30500</v>
      </c>
      <c r="H60" s="1" t="s">
        <v>24</v>
      </c>
      <c r="I60" s="1" t="s">
        <v>218</v>
      </c>
      <c r="J60" s="1" t="s">
        <v>218</v>
      </c>
      <c r="K60" s="2">
        <v>26991.15</v>
      </c>
      <c r="L60" s="2">
        <v>1349.5575</v>
      </c>
      <c r="M60" s="1" t="s">
        <v>25</v>
      </c>
      <c r="N60" s="2">
        <v>15619.366811215</v>
      </c>
      <c r="O60" s="2">
        <v>386.37203440166</v>
      </c>
      <c r="P60" s="2">
        <v>4526.51666424971</v>
      </c>
      <c r="Q60" s="2">
        <f t="shared" si="0"/>
        <v>5109.33699013363</v>
      </c>
    </row>
    <row r="61" spans="1:17">
      <c r="A61" s="1" t="s">
        <v>26</v>
      </c>
      <c r="B61" s="1" t="s">
        <v>87</v>
      </c>
      <c r="C61" s="1" t="s">
        <v>100</v>
      </c>
      <c r="D61" s="1" t="s">
        <v>222</v>
      </c>
      <c r="E61" s="1" t="s">
        <v>223</v>
      </c>
      <c r="F61" s="1" t="s">
        <v>224</v>
      </c>
      <c r="G61" s="2">
        <v>71025</v>
      </c>
      <c r="H61" s="1" t="s">
        <v>24</v>
      </c>
      <c r="I61" s="1" t="s">
        <v>225</v>
      </c>
      <c r="K61" s="2">
        <v>62402.65</v>
      </c>
      <c r="L61" s="2">
        <v>3120.1325</v>
      </c>
      <c r="M61" s="1" t="s">
        <v>25</v>
      </c>
      <c r="N61" s="2">
        <v>28300.1101383504</v>
      </c>
      <c r="O61" s="2">
        <v>6984.49461095803</v>
      </c>
      <c r="P61" s="2">
        <v>9060.76261602852</v>
      </c>
      <c r="Q61" s="2">
        <f t="shared" si="0"/>
        <v>14937.1501346631</v>
      </c>
    </row>
    <row r="62" spans="1:17">
      <c r="A62" s="1" t="s">
        <v>18</v>
      </c>
      <c r="B62" s="1" t="s">
        <v>87</v>
      </c>
      <c r="C62" s="1" t="s">
        <v>88</v>
      </c>
      <c r="D62" s="1" t="s">
        <v>226</v>
      </c>
      <c r="E62" s="1" t="s">
        <v>227</v>
      </c>
      <c r="F62" s="1" t="s">
        <v>60</v>
      </c>
      <c r="G62" s="2">
        <v>30500</v>
      </c>
      <c r="H62" s="1" t="s">
        <v>24</v>
      </c>
      <c r="I62" s="1" t="s">
        <v>218</v>
      </c>
      <c r="J62" s="1" t="s">
        <v>218</v>
      </c>
      <c r="K62" s="2">
        <v>26991.15</v>
      </c>
      <c r="L62" s="2">
        <v>1349.5575</v>
      </c>
      <c r="M62" s="1" t="s">
        <v>25</v>
      </c>
      <c r="N62" s="2">
        <v>15641.1666138231</v>
      </c>
      <c r="O62" s="2">
        <v>6901.60075931903</v>
      </c>
      <c r="P62" s="2">
        <v>3163.78541515607</v>
      </c>
      <c r="Q62" s="2">
        <f t="shared" si="0"/>
        <v>-64.9602882981967</v>
      </c>
    </row>
    <row r="63" spans="1:17">
      <c r="A63" s="1" t="s">
        <v>26</v>
      </c>
      <c r="B63" s="1" t="s">
        <v>87</v>
      </c>
      <c r="C63" s="1" t="s">
        <v>100</v>
      </c>
      <c r="D63" s="1" t="s">
        <v>228</v>
      </c>
      <c r="E63" s="1" t="s">
        <v>229</v>
      </c>
      <c r="F63" s="1" t="s">
        <v>63</v>
      </c>
      <c r="G63" s="2">
        <v>83030</v>
      </c>
      <c r="H63" s="1" t="s">
        <v>24</v>
      </c>
      <c r="I63" s="1" t="s">
        <v>230</v>
      </c>
      <c r="K63" s="2">
        <v>73477.88</v>
      </c>
      <c r="L63" s="2">
        <v>3673.894</v>
      </c>
      <c r="M63" s="1" t="s">
        <v>25</v>
      </c>
      <c r="N63" s="2">
        <v>33997.2665149633</v>
      </c>
      <c r="O63" s="2">
        <v>4778.95424791522</v>
      </c>
      <c r="P63" s="2">
        <v>5371.51249093642</v>
      </c>
      <c r="Q63" s="2">
        <f t="shared" si="0"/>
        <v>25656.2527461851</v>
      </c>
    </row>
    <row r="64" spans="1:17">
      <c r="A64" s="1" t="s">
        <v>18</v>
      </c>
      <c r="B64" s="1" t="s">
        <v>87</v>
      </c>
      <c r="C64" s="1" t="s">
        <v>153</v>
      </c>
      <c r="D64" s="1" t="s">
        <v>231</v>
      </c>
      <c r="E64" s="1" t="s">
        <v>232</v>
      </c>
      <c r="F64" s="1" t="s">
        <v>80</v>
      </c>
      <c r="G64" s="2">
        <v>47000</v>
      </c>
      <c r="H64" s="1" t="s">
        <v>24</v>
      </c>
      <c r="I64" s="1" t="s">
        <v>233</v>
      </c>
      <c r="J64" s="1" t="s">
        <v>233</v>
      </c>
      <c r="K64" s="2">
        <v>41592.92</v>
      </c>
      <c r="L64" s="2">
        <v>2079.646</v>
      </c>
      <c r="M64" s="1" t="s">
        <v>25</v>
      </c>
      <c r="N64" s="2">
        <v>20491.7538966517</v>
      </c>
      <c r="O64" s="2">
        <v>5517.18833311356</v>
      </c>
      <c r="P64" s="2">
        <v>3422.64637781118</v>
      </c>
      <c r="Q64" s="2">
        <f t="shared" si="0"/>
        <v>10081.6853924236</v>
      </c>
    </row>
    <row r="65" spans="1:17">
      <c r="A65" s="1" t="s">
        <v>26</v>
      </c>
      <c r="B65" s="1" t="s">
        <v>87</v>
      </c>
      <c r="C65" s="1" t="s">
        <v>148</v>
      </c>
      <c r="D65" s="1" t="s">
        <v>234</v>
      </c>
      <c r="E65" s="1" t="s">
        <v>235</v>
      </c>
      <c r="F65" s="1" t="s">
        <v>77</v>
      </c>
      <c r="G65" s="2">
        <v>488184.76</v>
      </c>
      <c r="H65" s="1" t="s">
        <v>24</v>
      </c>
      <c r="I65" s="1" t="s">
        <v>236</v>
      </c>
      <c r="K65" s="2">
        <v>432021.91</v>
      </c>
      <c r="L65" s="2">
        <v>21601.0955</v>
      </c>
      <c r="M65" s="1" t="s">
        <v>25</v>
      </c>
      <c r="N65" s="2">
        <v>244844.149940872</v>
      </c>
      <c r="O65" s="2">
        <v>16306.5266429986</v>
      </c>
      <c r="P65" s="2">
        <v>16376.2909626551</v>
      </c>
      <c r="Q65" s="2">
        <f t="shared" si="0"/>
        <v>132893.846953474</v>
      </c>
    </row>
    <row r="66" spans="1:17">
      <c r="A66" s="1" t="s">
        <v>26</v>
      </c>
      <c r="B66" s="1" t="s">
        <v>87</v>
      </c>
      <c r="C66" s="1" t="s">
        <v>148</v>
      </c>
      <c r="D66" s="1" t="s">
        <v>237</v>
      </c>
      <c r="E66" s="1" t="s">
        <v>238</v>
      </c>
      <c r="F66" s="1" t="s">
        <v>239</v>
      </c>
      <c r="G66" s="2">
        <v>1104913.85</v>
      </c>
      <c r="H66" s="1" t="s">
        <v>24</v>
      </c>
      <c r="I66" s="1" t="s">
        <v>240</v>
      </c>
      <c r="K66" s="2">
        <v>977799.87</v>
      </c>
      <c r="L66" s="2">
        <v>48889.9935</v>
      </c>
      <c r="M66" s="1" t="s">
        <v>25</v>
      </c>
      <c r="N66" s="2">
        <v>639321.388046481</v>
      </c>
      <c r="O66" s="2">
        <v>66806.8199458733</v>
      </c>
      <c r="P66" s="2">
        <v>78108.055547499</v>
      </c>
      <c r="Q66" s="2">
        <f t="shared" ref="Q66:Q105" si="1">+K66-L66-N66-O66-P66</f>
        <v>144673.612960147</v>
      </c>
    </row>
    <row r="67" spans="1:17">
      <c r="A67" s="1" t="s">
        <v>26</v>
      </c>
      <c r="B67" s="1" t="s">
        <v>87</v>
      </c>
      <c r="C67" s="1" t="s">
        <v>100</v>
      </c>
      <c r="D67" s="1" t="s">
        <v>241</v>
      </c>
      <c r="E67" s="1" t="s">
        <v>242</v>
      </c>
      <c r="F67" s="1" t="s">
        <v>243</v>
      </c>
      <c r="G67" s="2">
        <v>116350</v>
      </c>
      <c r="H67" s="1" t="s">
        <v>24</v>
      </c>
      <c r="I67" s="1" t="s">
        <v>212</v>
      </c>
      <c r="K67" s="2">
        <v>102964.6</v>
      </c>
      <c r="L67" s="2">
        <v>5148.23</v>
      </c>
      <c r="M67" s="1" t="s">
        <v>25</v>
      </c>
      <c r="N67" s="2">
        <v>26520.2672729084</v>
      </c>
      <c r="O67" s="2">
        <v>1964.05784154177</v>
      </c>
      <c r="P67" s="2">
        <v>8191.29470993603</v>
      </c>
      <c r="Q67" s="2">
        <f t="shared" si="1"/>
        <v>61140.7501756138</v>
      </c>
    </row>
    <row r="68" spans="1:17">
      <c r="A68" s="1" t="s">
        <v>26</v>
      </c>
      <c r="B68" s="1" t="s">
        <v>87</v>
      </c>
      <c r="C68" s="1" t="s">
        <v>100</v>
      </c>
      <c r="D68" s="1" t="s">
        <v>244</v>
      </c>
      <c r="E68" s="1" t="s">
        <v>245</v>
      </c>
      <c r="F68" s="1" t="s">
        <v>243</v>
      </c>
      <c r="G68" s="2">
        <v>127150</v>
      </c>
      <c r="H68" s="1" t="s">
        <v>24</v>
      </c>
      <c r="I68" s="1" t="s">
        <v>203</v>
      </c>
      <c r="K68" s="2">
        <v>112522.12</v>
      </c>
      <c r="L68" s="2">
        <v>5626.106</v>
      </c>
      <c r="M68" s="1" t="s">
        <v>25</v>
      </c>
      <c r="N68" s="2">
        <v>25995.3058226016</v>
      </c>
      <c r="O68" s="2">
        <v>2608.0112322112</v>
      </c>
      <c r="P68" s="2">
        <v>8282.94248368555</v>
      </c>
      <c r="Q68" s="2">
        <f t="shared" si="1"/>
        <v>70009.7544615017</v>
      </c>
    </row>
    <row r="69" spans="1:17">
      <c r="A69" s="1" t="s">
        <v>26</v>
      </c>
      <c r="B69" s="1" t="s">
        <v>87</v>
      </c>
      <c r="C69" s="1" t="s">
        <v>148</v>
      </c>
      <c r="D69" s="1" t="s">
        <v>246</v>
      </c>
      <c r="E69" s="1" t="s">
        <v>247</v>
      </c>
      <c r="F69" s="1" t="s">
        <v>248</v>
      </c>
      <c r="G69" s="2">
        <v>125000</v>
      </c>
      <c r="H69" s="1" t="s">
        <v>24</v>
      </c>
      <c r="I69" s="1" t="s">
        <v>249</v>
      </c>
      <c r="K69" s="2">
        <v>113035.4</v>
      </c>
      <c r="L69" s="2">
        <v>5651.77</v>
      </c>
      <c r="M69" s="1" t="s">
        <v>25</v>
      </c>
      <c r="N69" s="2">
        <v>62629.3190180276</v>
      </c>
      <c r="O69" s="2">
        <v>908.93123446677</v>
      </c>
      <c r="P69" s="2">
        <v>48.8124909364191</v>
      </c>
      <c r="Q69" s="2">
        <f t="shared" si="1"/>
        <v>43796.5672565692</v>
      </c>
    </row>
    <row r="70" spans="1:17">
      <c r="A70" s="1" t="s">
        <v>26</v>
      </c>
      <c r="B70" s="1" t="s">
        <v>87</v>
      </c>
      <c r="C70" s="1" t="s">
        <v>100</v>
      </c>
      <c r="D70" s="1" t="s">
        <v>250</v>
      </c>
      <c r="E70" s="1" t="s">
        <v>251</v>
      </c>
      <c r="F70" s="1" t="s">
        <v>252</v>
      </c>
      <c r="G70" s="2">
        <v>70515</v>
      </c>
      <c r="H70" s="1" t="s">
        <v>24</v>
      </c>
      <c r="I70" s="1" t="s">
        <v>253</v>
      </c>
      <c r="K70" s="2">
        <v>62402.65</v>
      </c>
      <c r="L70" s="2">
        <v>3120.1325</v>
      </c>
      <c r="M70" s="1" t="s">
        <v>25</v>
      </c>
      <c r="N70" s="2">
        <v>26657.8684343712</v>
      </c>
      <c r="O70" s="2">
        <v>2286.03453687648</v>
      </c>
      <c r="P70" s="2">
        <v>6991.93859681079</v>
      </c>
      <c r="Q70" s="2">
        <f t="shared" si="1"/>
        <v>23346.6759319415</v>
      </c>
    </row>
    <row r="71" spans="1:17">
      <c r="A71" s="1" t="s">
        <v>26</v>
      </c>
      <c r="B71" s="1" t="s">
        <v>87</v>
      </c>
      <c r="C71" s="1" t="s">
        <v>88</v>
      </c>
      <c r="D71" s="1" t="s">
        <v>254</v>
      </c>
      <c r="E71" s="1" t="s">
        <v>255</v>
      </c>
      <c r="F71" s="1" t="s">
        <v>133</v>
      </c>
      <c r="G71" s="2">
        <v>130996</v>
      </c>
      <c r="H71" s="1" t="s">
        <v>24</v>
      </c>
      <c r="I71" s="1" t="s">
        <v>256</v>
      </c>
      <c r="K71" s="2">
        <v>115925.66</v>
      </c>
      <c r="L71" s="2">
        <v>5796.283</v>
      </c>
      <c r="M71" s="1" t="s">
        <v>25</v>
      </c>
      <c r="N71" s="2">
        <v>57242.5575160506</v>
      </c>
      <c r="O71" s="2">
        <v>9144.14223320518</v>
      </c>
      <c r="P71" s="2">
        <v>3337.5694343738</v>
      </c>
      <c r="Q71" s="2">
        <f t="shared" si="1"/>
        <v>40405.1078163704</v>
      </c>
    </row>
    <row r="72" spans="1:17">
      <c r="A72" s="1" t="s">
        <v>26</v>
      </c>
      <c r="B72" s="1" t="s">
        <v>87</v>
      </c>
      <c r="C72" s="1" t="s">
        <v>88</v>
      </c>
      <c r="D72" s="1" t="s">
        <v>257</v>
      </c>
      <c r="E72" s="1" t="s">
        <v>258</v>
      </c>
      <c r="F72" s="1" t="s">
        <v>108</v>
      </c>
      <c r="G72" s="2">
        <v>130996</v>
      </c>
      <c r="H72" s="1" t="s">
        <v>24</v>
      </c>
      <c r="I72" s="1" t="s">
        <v>259</v>
      </c>
      <c r="K72" s="2">
        <v>115925.66</v>
      </c>
      <c r="L72" s="2">
        <v>5796.283</v>
      </c>
      <c r="M72" s="1" t="s">
        <v>25</v>
      </c>
      <c r="N72" s="2">
        <v>56720.5632610988</v>
      </c>
      <c r="O72" s="2">
        <v>7820.12432115804</v>
      </c>
      <c r="P72" s="2">
        <v>3.7569434373799</v>
      </c>
      <c r="Q72" s="2">
        <f t="shared" si="1"/>
        <v>45584.9324743058</v>
      </c>
    </row>
    <row r="73" spans="1:17">
      <c r="A73" s="1" t="s">
        <v>18</v>
      </c>
      <c r="B73" s="1" t="s">
        <v>87</v>
      </c>
      <c r="C73" s="1" t="s">
        <v>153</v>
      </c>
      <c r="D73" s="1" t="s">
        <v>260</v>
      </c>
      <c r="E73" s="1" t="s">
        <v>261</v>
      </c>
      <c r="F73" s="1" t="s">
        <v>262</v>
      </c>
      <c r="G73" s="2">
        <v>86000</v>
      </c>
      <c r="H73" s="1" t="s">
        <v>24</v>
      </c>
      <c r="I73" s="1" t="s">
        <v>263</v>
      </c>
      <c r="J73" s="1" t="s">
        <v>263</v>
      </c>
      <c r="K73" s="2">
        <v>76106.19</v>
      </c>
      <c r="L73" s="2">
        <v>3805.3095</v>
      </c>
      <c r="M73" s="1" t="s">
        <v>25</v>
      </c>
      <c r="N73" s="2">
        <v>45645.3451185498</v>
      </c>
      <c r="O73" s="2">
        <v>5433.04687500575</v>
      </c>
      <c r="P73" s="2">
        <v>64.6194271229343</v>
      </c>
      <c r="Q73" s="2">
        <f t="shared" si="1"/>
        <v>21157.8690793215</v>
      </c>
    </row>
    <row r="74" spans="1:17">
      <c r="A74" s="1" t="s">
        <v>26</v>
      </c>
      <c r="B74" s="1" t="s">
        <v>87</v>
      </c>
      <c r="C74" s="1" t="s">
        <v>100</v>
      </c>
      <c r="D74" s="1" t="s">
        <v>264</v>
      </c>
      <c r="E74" s="1" t="s">
        <v>265</v>
      </c>
      <c r="F74" s="1" t="s">
        <v>266</v>
      </c>
      <c r="G74" s="2">
        <v>70515</v>
      </c>
      <c r="H74" s="1" t="s">
        <v>24</v>
      </c>
      <c r="I74" s="1" t="s">
        <v>267</v>
      </c>
      <c r="K74" s="2">
        <v>62402.65</v>
      </c>
      <c r="L74" s="2">
        <v>3120.1325</v>
      </c>
      <c r="M74" s="1" t="s">
        <v>25</v>
      </c>
      <c r="N74" s="2">
        <v>27097.7904695038</v>
      </c>
      <c r="O74" s="2">
        <v>5470.04798584911</v>
      </c>
      <c r="P74" s="2">
        <v>8268.06332124856</v>
      </c>
      <c r="Q74" s="2">
        <f t="shared" si="1"/>
        <v>18446.6157233985</v>
      </c>
    </row>
    <row r="75" spans="1:17">
      <c r="A75" s="1" t="s">
        <v>26</v>
      </c>
      <c r="B75" s="1" t="s">
        <v>87</v>
      </c>
      <c r="C75" s="1" t="s">
        <v>100</v>
      </c>
      <c r="D75" s="1" t="s">
        <v>268</v>
      </c>
      <c r="E75" s="1" t="s">
        <v>269</v>
      </c>
      <c r="F75" s="1" t="s">
        <v>270</v>
      </c>
      <c r="G75" s="2">
        <v>116350</v>
      </c>
      <c r="H75" s="1" t="s">
        <v>24</v>
      </c>
      <c r="I75" s="1" t="s">
        <v>271</v>
      </c>
      <c r="K75" s="2">
        <v>102964.6</v>
      </c>
      <c r="L75" s="2">
        <v>5148.23</v>
      </c>
      <c r="M75" s="1" t="s">
        <v>25</v>
      </c>
      <c r="N75" s="2">
        <v>26408.8460595779</v>
      </c>
      <c r="O75" s="2">
        <v>2253.83686734302</v>
      </c>
      <c r="P75" s="2">
        <v>52.5972081233186</v>
      </c>
      <c r="Q75" s="2">
        <f t="shared" si="1"/>
        <v>69101.0898649558</v>
      </c>
    </row>
    <row r="76" spans="1:17">
      <c r="A76" s="1" t="s">
        <v>26</v>
      </c>
      <c r="B76" s="1" t="s">
        <v>87</v>
      </c>
      <c r="C76" s="1" t="s">
        <v>100</v>
      </c>
      <c r="D76" s="1" t="s">
        <v>272</v>
      </c>
      <c r="E76" s="1" t="s">
        <v>273</v>
      </c>
      <c r="F76" s="1" t="s">
        <v>274</v>
      </c>
      <c r="G76" s="2">
        <v>115990</v>
      </c>
      <c r="H76" s="1" t="s">
        <v>24</v>
      </c>
      <c r="I76" s="1" t="s">
        <v>230</v>
      </c>
      <c r="K76" s="2">
        <v>102646.02</v>
      </c>
      <c r="L76" s="2">
        <v>5132.301</v>
      </c>
      <c r="M76" s="1" t="s">
        <v>25</v>
      </c>
      <c r="N76" s="2">
        <v>25672.4063389696</v>
      </c>
      <c r="O76" s="2">
        <v>2817.29608417877</v>
      </c>
      <c r="P76" s="2">
        <v>6062.79651015415</v>
      </c>
      <c r="Q76" s="2">
        <f t="shared" si="1"/>
        <v>62961.2200666975</v>
      </c>
    </row>
    <row r="77" spans="1:17">
      <c r="A77" s="1" t="s">
        <v>18</v>
      </c>
      <c r="B77" s="1" t="s">
        <v>87</v>
      </c>
      <c r="C77" s="1" t="s">
        <v>100</v>
      </c>
      <c r="D77" s="1" t="s">
        <v>275</v>
      </c>
      <c r="E77" s="1" t="s">
        <v>276</v>
      </c>
      <c r="F77" s="1" t="s">
        <v>277</v>
      </c>
      <c r="G77" s="2">
        <v>315000</v>
      </c>
      <c r="H77" s="1" t="s">
        <v>24</v>
      </c>
      <c r="I77" s="1" t="s">
        <v>249</v>
      </c>
      <c r="J77" s="1" t="s">
        <v>249</v>
      </c>
      <c r="K77" s="2">
        <v>278761.06</v>
      </c>
      <c r="L77" s="2">
        <v>13938.053</v>
      </c>
      <c r="M77" s="1" t="s">
        <v>25</v>
      </c>
      <c r="N77" s="2">
        <v>184126.088246509</v>
      </c>
      <c r="O77" s="2">
        <v>7184.70901980642</v>
      </c>
      <c r="P77" s="2">
        <v>19813.2508303121</v>
      </c>
      <c r="Q77" s="2">
        <f t="shared" si="1"/>
        <v>53698.9589033725</v>
      </c>
    </row>
    <row r="78" spans="1:17">
      <c r="A78" s="1" t="s">
        <v>26</v>
      </c>
      <c r="B78" s="1" t="s">
        <v>87</v>
      </c>
      <c r="C78" s="1" t="s">
        <v>88</v>
      </c>
      <c r="D78" s="1" t="s">
        <v>278</v>
      </c>
      <c r="E78" s="1" t="s">
        <v>279</v>
      </c>
      <c r="F78" s="1" t="s">
        <v>280</v>
      </c>
      <c r="G78" s="2">
        <v>80221.75</v>
      </c>
      <c r="H78" s="1" t="s">
        <v>24</v>
      </c>
      <c r="I78" s="1" t="s">
        <v>191</v>
      </c>
      <c r="K78" s="2">
        <v>70992.7</v>
      </c>
      <c r="L78" s="2">
        <v>3549.635</v>
      </c>
      <c r="M78" s="1" t="s">
        <v>25</v>
      </c>
      <c r="N78" s="2">
        <v>31223.5847781175</v>
      </c>
      <c r="O78" s="2">
        <v>9396.92014816308</v>
      </c>
      <c r="P78" s="2">
        <v>4608.66803843546</v>
      </c>
      <c r="Q78" s="2">
        <f t="shared" si="1"/>
        <v>22213.892035284</v>
      </c>
    </row>
    <row r="79" spans="1:17">
      <c r="A79" s="1" t="s">
        <v>26</v>
      </c>
      <c r="B79" s="1" t="s">
        <v>87</v>
      </c>
      <c r="C79" s="1" t="s">
        <v>100</v>
      </c>
      <c r="D79" s="1" t="s">
        <v>281</v>
      </c>
      <c r="E79" s="1" t="s">
        <v>282</v>
      </c>
      <c r="F79" s="1" t="s">
        <v>249</v>
      </c>
      <c r="G79" s="2">
        <v>90170</v>
      </c>
      <c r="H79" s="1" t="s">
        <v>24</v>
      </c>
      <c r="I79" s="1" t="s">
        <v>283</v>
      </c>
      <c r="K79" s="2">
        <v>79796.46</v>
      </c>
      <c r="L79" s="2">
        <v>3989.823</v>
      </c>
      <c r="M79" s="1" t="s">
        <v>25</v>
      </c>
      <c r="N79" s="2">
        <v>22035.1092738001</v>
      </c>
      <c r="O79" s="2">
        <v>2414.82521501038</v>
      </c>
      <c r="P79" s="2">
        <v>56.3541515606985</v>
      </c>
      <c r="Q79" s="2">
        <f t="shared" si="1"/>
        <v>51300.3483596288</v>
      </c>
    </row>
    <row r="80" spans="1:18">
      <c r="A80" s="1" t="s">
        <v>26</v>
      </c>
      <c r="B80" s="1" t="s">
        <v>284</v>
      </c>
      <c r="C80" s="1" t="s">
        <v>285</v>
      </c>
      <c r="D80" s="1" t="s">
        <v>286</v>
      </c>
      <c r="E80" s="1" t="s">
        <v>287</v>
      </c>
      <c r="F80" s="1" t="s">
        <v>288</v>
      </c>
      <c r="G80" s="2">
        <v>0</v>
      </c>
      <c r="H80" s="1" t="s">
        <v>24</v>
      </c>
      <c r="K80" s="2">
        <v>0</v>
      </c>
      <c r="L80" s="2">
        <v>0</v>
      </c>
      <c r="M80" s="1" t="s">
        <v>25</v>
      </c>
      <c r="N80" s="2">
        <v>0</v>
      </c>
      <c r="O80" s="2">
        <v>433.652747740204</v>
      </c>
      <c r="P80" s="2">
        <v>16.9062454682096</v>
      </c>
      <c r="Q80" s="2">
        <f t="shared" si="1"/>
        <v>-450.558993208414</v>
      </c>
      <c r="R80" s="1" t="s">
        <v>289</v>
      </c>
    </row>
    <row r="81" spans="1:18">
      <c r="A81" s="1" t="s">
        <v>26</v>
      </c>
      <c r="B81" s="1" t="s">
        <v>284</v>
      </c>
      <c r="C81" s="1" t="s">
        <v>285</v>
      </c>
      <c r="D81" s="1" t="s">
        <v>290</v>
      </c>
      <c r="E81" s="1" t="s">
        <v>291</v>
      </c>
      <c r="F81" s="1" t="s">
        <v>292</v>
      </c>
      <c r="G81" s="2">
        <v>0</v>
      </c>
      <c r="H81" s="1" t="s">
        <v>24</v>
      </c>
      <c r="K81" s="2">
        <v>0</v>
      </c>
      <c r="L81" s="2">
        <v>0</v>
      </c>
      <c r="M81" s="1" t="s">
        <v>25</v>
      </c>
      <c r="N81" s="2">
        <v>0</v>
      </c>
      <c r="O81" s="2">
        <v>433.652747740204</v>
      </c>
      <c r="P81" s="2">
        <v>16.9062454682096</v>
      </c>
      <c r="Q81" s="2">
        <f t="shared" si="1"/>
        <v>-450.558993208414</v>
      </c>
      <c r="R81" s="1" t="s">
        <v>293</v>
      </c>
    </row>
    <row r="82" spans="1:18">
      <c r="A82" s="1" t="s">
        <v>26</v>
      </c>
      <c r="B82" s="1" t="s">
        <v>284</v>
      </c>
      <c r="C82" s="1" t="s">
        <v>285</v>
      </c>
      <c r="D82" s="1" t="s">
        <v>294</v>
      </c>
      <c r="E82" s="1" t="s">
        <v>295</v>
      </c>
      <c r="F82" s="1" t="s">
        <v>296</v>
      </c>
      <c r="G82" s="2">
        <v>0</v>
      </c>
      <c r="H82" s="1" t="s">
        <v>24</v>
      </c>
      <c r="K82" s="2">
        <v>0</v>
      </c>
      <c r="L82" s="2">
        <v>0</v>
      </c>
      <c r="M82" s="1" t="s">
        <v>25</v>
      </c>
      <c r="N82" s="2">
        <v>1.60470769198866</v>
      </c>
      <c r="O82" s="2">
        <v>0</v>
      </c>
      <c r="P82" s="2">
        <v>0</v>
      </c>
      <c r="Q82" s="2">
        <f t="shared" si="1"/>
        <v>-1.60470769198866</v>
      </c>
      <c r="R82" s="1" t="s">
        <v>297</v>
      </c>
    </row>
    <row r="83" spans="1:18">
      <c r="A83" s="1" t="s">
        <v>26</v>
      </c>
      <c r="B83" s="1" t="s">
        <v>284</v>
      </c>
      <c r="C83" s="1" t="s">
        <v>285</v>
      </c>
      <c r="D83" s="1" t="s">
        <v>298</v>
      </c>
      <c r="E83" s="1" t="s">
        <v>299</v>
      </c>
      <c r="F83" s="1" t="s">
        <v>300</v>
      </c>
      <c r="G83" s="2">
        <v>0</v>
      </c>
      <c r="H83" s="1" t="s">
        <v>24</v>
      </c>
      <c r="K83" s="2">
        <v>0</v>
      </c>
      <c r="L83" s="2">
        <v>0</v>
      </c>
      <c r="M83" s="1" t="s">
        <v>25</v>
      </c>
      <c r="N83" s="2">
        <v>0</v>
      </c>
      <c r="O83" s="2">
        <v>433.652747740204</v>
      </c>
      <c r="P83" s="2">
        <v>16.9062454682096</v>
      </c>
      <c r="Q83" s="2">
        <f t="shared" si="1"/>
        <v>-450.558993208414</v>
      </c>
      <c r="R83" s="1" t="s">
        <v>301</v>
      </c>
    </row>
    <row r="84" spans="1:18">
      <c r="A84" s="1" t="s">
        <v>26</v>
      </c>
      <c r="B84" s="1" t="s">
        <v>284</v>
      </c>
      <c r="C84" s="1" t="s">
        <v>285</v>
      </c>
      <c r="D84" s="1" t="s">
        <v>302</v>
      </c>
      <c r="E84" s="1" t="s">
        <v>303</v>
      </c>
      <c r="F84" s="1" t="s">
        <v>304</v>
      </c>
      <c r="G84" s="2">
        <v>0</v>
      </c>
      <c r="H84" s="1" t="s">
        <v>24</v>
      </c>
      <c r="K84" s="2">
        <v>0</v>
      </c>
      <c r="L84" s="2">
        <v>0</v>
      </c>
      <c r="M84" s="1" t="s">
        <v>25</v>
      </c>
      <c r="N84" s="2">
        <v>0</v>
      </c>
      <c r="O84" s="2">
        <v>4770.18022514224</v>
      </c>
      <c r="P84" s="2">
        <v>472.848700150305</v>
      </c>
      <c r="Q84" s="2">
        <f t="shared" si="1"/>
        <v>-5243.02892529254</v>
      </c>
      <c r="R84" s="1" t="s">
        <v>305</v>
      </c>
    </row>
    <row r="85" spans="1:18">
      <c r="A85" s="1" t="s">
        <v>26</v>
      </c>
      <c r="B85" s="1" t="s">
        <v>284</v>
      </c>
      <c r="C85" s="1" t="s">
        <v>285</v>
      </c>
      <c r="D85" s="1" t="s">
        <v>306</v>
      </c>
      <c r="E85" s="1" t="s">
        <v>307</v>
      </c>
      <c r="F85" s="1" t="s">
        <v>308</v>
      </c>
      <c r="G85" s="2">
        <v>0</v>
      </c>
      <c r="H85" s="1" t="s">
        <v>24</v>
      </c>
      <c r="K85" s="2">
        <v>0</v>
      </c>
      <c r="L85" s="2">
        <v>0</v>
      </c>
      <c r="M85" s="1" t="s">
        <v>25</v>
      </c>
      <c r="N85" s="2">
        <v>2143.53623895459</v>
      </c>
      <c r="O85" s="2">
        <v>433.652747740204</v>
      </c>
      <c r="P85" s="2">
        <v>26.9062454682096</v>
      </c>
      <c r="Q85" s="2">
        <f t="shared" si="1"/>
        <v>-2604.095232163</v>
      </c>
      <c r="R85" s="1" t="s">
        <v>309</v>
      </c>
    </row>
    <row r="86" spans="1:18">
      <c r="A86" s="1" t="s">
        <v>26</v>
      </c>
      <c r="B86" s="1" t="s">
        <v>284</v>
      </c>
      <c r="C86" s="1" t="s">
        <v>285</v>
      </c>
      <c r="D86" s="1" t="s">
        <v>310</v>
      </c>
      <c r="E86" s="1" t="s">
        <v>311</v>
      </c>
      <c r="F86" s="1" t="s">
        <v>312</v>
      </c>
      <c r="G86" s="2">
        <v>0</v>
      </c>
      <c r="H86" s="1" t="s">
        <v>24</v>
      </c>
      <c r="K86" s="2">
        <v>0</v>
      </c>
      <c r="L86" s="2">
        <v>0</v>
      </c>
      <c r="M86" s="1" t="s">
        <v>25</v>
      </c>
      <c r="N86" s="2">
        <v>0</v>
      </c>
      <c r="O86" s="2">
        <v>1734.61099096082</v>
      </c>
      <c r="P86" s="2">
        <v>257.624981872838</v>
      </c>
      <c r="Q86" s="2">
        <f t="shared" si="1"/>
        <v>-1992.23597283366</v>
      </c>
      <c r="R86" s="1" t="s">
        <v>313</v>
      </c>
    </row>
    <row r="87" spans="1:18">
      <c r="A87" s="1" t="s">
        <v>26</v>
      </c>
      <c r="B87" s="1" t="s">
        <v>284</v>
      </c>
      <c r="C87" s="1" t="s">
        <v>285</v>
      </c>
      <c r="D87" s="1" t="s">
        <v>314</v>
      </c>
      <c r="E87" s="1" t="s">
        <v>315</v>
      </c>
      <c r="F87" s="1" t="s">
        <v>312</v>
      </c>
      <c r="G87" s="2">
        <v>0</v>
      </c>
      <c r="H87" s="1" t="s">
        <v>24</v>
      </c>
      <c r="K87" s="2">
        <v>0</v>
      </c>
      <c r="L87" s="2">
        <v>0</v>
      </c>
      <c r="M87" s="1" t="s">
        <v>25</v>
      </c>
      <c r="N87" s="2">
        <v>0</v>
      </c>
      <c r="O87" s="2">
        <v>433.652747740204</v>
      </c>
      <c r="P87" s="2">
        <v>34.9062454682096</v>
      </c>
      <c r="Q87" s="2">
        <f t="shared" si="1"/>
        <v>-468.558993208414</v>
      </c>
      <c r="R87" s="1" t="s">
        <v>316</v>
      </c>
    </row>
    <row r="88" spans="1:18">
      <c r="A88" s="1" t="s">
        <v>26</v>
      </c>
      <c r="B88" s="1" t="s">
        <v>284</v>
      </c>
      <c r="C88" s="1" t="s">
        <v>285</v>
      </c>
      <c r="D88" s="1" t="s">
        <v>317</v>
      </c>
      <c r="E88" s="1" t="s">
        <v>318</v>
      </c>
      <c r="F88" s="1" t="s">
        <v>319</v>
      </c>
      <c r="G88" s="2">
        <v>0</v>
      </c>
      <c r="H88" s="1" t="s">
        <v>24</v>
      </c>
      <c r="K88" s="2">
        <v>0</v>
      </c>
      <c r="L88" s="2">
        <v>0</v>
      </c>
      <c r="M88" s="1" t="s">
        <v>25</v>
      </c>
      <c r="N88" s="2">
        <v>0</v>
      </c>
      <c r="O88" s="2">
        <v>433.652747740204</v>
      </c>
      <c r="P88" s="2">
        <v>16.9062454682096</v>
      </c>
      <c r="Q88" s="2">
        <f t="shared" si="1"/>
        <v>-450.558993208414</v>
      </c>
      <c r="R88" s="1" t="s">
        <v>320</v>
      </c>
    </row>
    <row r="89" spans="1:18">
      <c r="A89" s="1" t="s">
        <v>26</v>
      </c>
      <c r="B89" s="1" t="s">
        <v>284</v>
      </c>
      <c r="C89" s="1" t="s">
        <v>285</v>
      </c>
      <c r="D89" s="1" t="s">
        <v>321</v>
      </c>
      <c r="E89" s="1" t="s">
        <v>322</v>
      </c>
      <c r="F89" s="1" t="s">
        <v>323</v>
      </c>
      <c r="G89" s="2">
        <v>0</v>
      </c>
      <c r="H89" s="1" t="s">
        <v>24</v>
      </c>
      <c r="K89" s="2">
        <v>0</v>
      </c>
      <c r="L89" s="2">
        <v>0</v>
      </c>
      <c r="M89" s="1" t="s">
        <v>25</v>
      </c>
      <c r="N89" s="2">
        <v>0</v>
      </c>
      <c r="O89" s="2">
        <v>2168.26373870102</v>
      </c>
      <c r="P89" s="2">
        <v>385.331227341048</v>
      </c>
      <c r="Q89" s="2">
        <f t="shared" si="1"/>
        <v>-2553.59496604207</v>
      </c>
      <c r="R89" s="1" t="s">
        <v>324</v>
      </c>
    </row>
    <row r="90" spans="1:18">
      <c r="A90" s="1" t="s">
        <v>26</v>
      </c>
      <c r="B90" s="1" t="s">
        <v>284</v>
      </c>
      <c r="C90" s="1" t="s">
        <v>285</v>
      </c>
      <c r="D90" s="1" t="s">
        <v>325</v>
      </c>
      <c r="E90" s="1" t="s">
        <v>326</v>
      </c>
      <c r="F90" s="1" t="s">
        <v>327</v>
      </c>
      <c r="G90" s="2">
        <v>0</v>
      </c>
      <c r="H90" s="1" t="s">
        <v>24</v>
      </c>
      <c r="K90" s="2">
        <v>0</v>
      </c>
      <c r="L90" s="2">
        <v>0</v>
      </c>
      <c r="M90" s="1" t="s">
        <v>25</v>
      </c>
      <c r="N90" s="2">
        <v>0</v>
      </c>
      <c r="O90" s="2">
        <v>2601.91648644123</v>
      </c>
      <c r="P90" s="2">
        <v>2148.93747280926</v>
      </c>
      <c r="Q90" s="2">
        <f t="shared" si="1"/>
        <v>-4750.85395925049</v>
      </c>
      <c r="R90" s="1" t="s">
        <v>328</v>
      </c>
    </row>
    <row r="91" spans="1:18">
      <c r="A91" s="1" t="s">
        <v>26</v>
      </c>
      <c r="B91" s="1" t="s">
        <v>284</v>
      </c>
      <c r="C91" s="1" t="s">
        <v>285</v>
      </c>
      <c r="D91" s="1" t="s">
        <v>329</v>
      </c>
      <c r="E91" s="1" t="s">
        <v>330</v>
      </c>
      <c r="F91" s="1" t="s">
        <v>331</v>
      </c>
      <c r="G91" s="2">
        <v>0</v>
      </c>
      <c r="H91" s="1" t="s">
        <v>24</v>
      </c>
      <c r="K91" s="2">
        <v>0</v>
      </c>
      <c r="L91" s="2">
        <v>0</v>
      </c>
      <c r="M91" s="1" t="s">
        <v>25</v>
      </c>
      <c r="N91" s="2">
        <v>125.51034501617</v>
      </c>
      <c r="O91" s="2">
        <v>2168.26373870102</v>
      </c>
      <c r="P91" s="2">
        <v>84.5312273410478</v>
      </c>
      <c r="Q91" s="2">
        <f t="shared" si="1"/>
        <v>-2378.30531105824</v>
      </c>
      <c r="R91" s="1" t="s">
        <v>332</v>
      </c>
    </row>
    <row r="92" spans="1:18">
      <c r="A92" s="1" t="s">
        <v>26</v>
      </c>
      <c r="B92" s="1" t="s">
        <v>284</v>
      </c>
      <c r="C92" s="1" t="s">
        <v>285</v>
      </c>
      <c r="D92" s="1" t="s">
        <v>333</v>
      </c>
      <c r="E92" s="1" t="s">
        <v>334</v>
      </c>
      <c r="F92" s="1" t="s">
        <v>335</v>
      </c>
      <c r="G92" s="2">
        <v>0</v>
      </c>
      <c r="H92" s="1" t="s">
        <v>24</v>
      </c>
      <c r="K92" s="2">
        <v>0</v>
      </c>
      <c r="L92" s="2">
        <v>0</v>
      </c>
      <c r="M92" s="1" t="s">
        <v>25</v>
      </c>
      <c r="N92" s="2">
        <v>0</v>
      </c>
      <c r="O92" s="2">
        <v>433.652747740204</v>
      </c>
      <c r="P92" s="2">
        <v>66.9062454682096</v>
      </c>
      <c r="Q92" s="2">
        <f t="shared" si="1"/>
        <v>-500.558993208414</v>
      </c>
      <c r="R92" s="1" t="s">
        <v>336</v>
      </c>
    </row>
    <row r="93" spans="1:18">
      <c r="A93" s="1" t="s">
        <v>26</v>
      </c>
      <c r="B93" s="1" t="s">
        <v>284</v>
      </c>
      <c r="C93" s="1" t="s">
        <v>285</v>
      </c>
      <c r="D93" s="1" t="s">
        <v>337</v>
      </c>
      <c r="E93" s="1" t="s">
        <v>338</v>
      </c>
      <c r="F93" s="1" t="s">
        <v>339</v>
      </c>
      <c r="G93" s="2">
        <v>0</v>
      </c>
      <c r="H93" s="1" t="s">
        <v>24</v>
      </c>
      <c r="K93" s="2">
        <v>0</v>
      </c>
      <c r="L93" s="2">
        <v>0</v>
      </c>
      <c r="M93" s="1" t="s">
        <v>25</v>
      </c>
      <c r="N93" s="2">
        <v>0</v>
      </c>
      <c r="O93" s="2">
        <v>6504.79121610306</v>
      </c>
      <c r="P93" s="2">
        <v>253.593682023143</v>
      </c>
      <c r="Q93" s="2">
        <f t="shared" si="1"/>
        <v>-6758.3848981262</v>
      </c>
      <c r="R93" s="1" t="s">
        <v>340</v>
      </c>
    </row>
    <row r="94" spans="1:18">
      <c r="A94" s="1" t="s">
        <v>26</v>
      </c>
      <c r="B94" s="1" t="s">
        <v>284</v>
      </c>
      <c r="C94" s="1" t="s">
        <v>285</v>
      </c>
      <c r="D94" s="1" t="s">
        <v>341</v>
      </c>
      <c r="E94" s="1" t="s">
        <v>342</v>
      </c>
      <c r="F94" s="1" t="s">
        <v>312</v>
      </c>
      <c r="G94" s="2">
        <v>0</v>
      </c>
      <c r="H94" s="1" t="s">
        <v>24</v>
      </c>
      <c r="K94" s="2">
        <v>0</v>
      </c>
      <c r="L94" s="2">
        <v>0</v>
      </c>
      <c r="M94" s="1" t="s">
        <v>25</v>
      </c>
      <c r="N94" s="2">
        <v>0</v>
      </c>
      <c r="O94" s="2">
        <v>1300.95824322061</v>
      </c>
      <c r="P94" s="2">
        <v>309.518736404629</v>
      </c>
      <c r="Q94" s="2">
        <f t="shared" si="1"/>
        <v>-1610.47697962524</v>
      </c>
      <c r="R94" s="1" t="s">
        <v>343</v>
      </c>
    </row>
    <row r="95" spans="1:18">
      <c r="A95" s="1" t="s">
        <v>26</v>
      </c>
      <c r="B95" s="1" t="s">
        <v>284</v>
      </c>
      <c r="C95" s="1" t="s">
        <v>285</v>
      </c>
      <c r="D95" s="1" t="s">
        <v>344</v>
      </c>
      <c r="E95" s="1" t="s">
        <v>345</v>
      </c>
      <c r="F95" s="1" t="s">
        <v>23</v>
      </c>
      <c r="G95" s="2">
        <v>0</v>
      </c>
      <c r="H95" s="1" t="s">
        <v>24</v>
      </c>
      <c r="K95" s="2">
        <v>0</v>
      </c>
      <c r="L95" s="2">
        <v>0</v>
      </c>
      <c r="M95" s="1" t="s">
        <v>25</v>
      </c>
      <c r="N95" s="2">
        <v>0</v>
      </c>
      <c r="O95" s="2">
        <v>867.305495480408</v>
      </c>
      <c r="P95" s="2">
        <v>33.8124909364191</v>
      </c>
      <c r="Q95" s="2">
        <f t="shared" si="1"/>
        <v>-901.117986416827</v>
      </c>
      <c r="R95" s="1" t="s">
        <v>346</v>
      </c>
    </row>
    <row r="96" spans="1:18">
      <c r="A96" s="1" t="s">
        <v>26</v>
      </c>
      <c r="B96" s="1" t="s">
        <v>284</v>
      </c>
      <c r="C96" s="1" t="s">
        <v>285</v>
      </c>
      <c r="D96" s="1" t="s">
        <v>347</v>
      </c>
      <c r="E96" s="1" t="s">
        <v>348</v>
      </c>
      <c r="F96" s="1" t="s">
        <v>349</v>
      </c>
      <c r="G96" s="2">
        <v>0</v>
      </c>
      <c r="H96" s="1" t="s">
        <v>24</v>
      </c>
      <c r="K96" s="2">
        <v>0</v>
      </c>
      <c r="L96" s="2">
        <v>0</v>
      </c>
      <c r="M96" s="1" t="s">
        <v>25</v>
      </c>
      <c r="N96" s="2">
        <v>0</v>
      </c>
      <c r="O96" s="2">
        <v>3902.87472966183</v>
      </c>
      <c r="P96" s="2">
        <v>1664.15620921389</v>
      </c>
      <c r="Q96" s="2">
        <f t="shared" si="1"/>
        <v>-5567.03093887572</v>
      </c>
      <c r="R96" s="1" t="s">
        <v>350</v>
      </c>
    </row>
    <row r="97" spans="1:18">
      <c r="A97" s="1" t="s">
        <v>26</v>
      </c>
      <c r="B97" s="1" t="s">
        <v>284</v>
      </c>
      <c r="C97" s="1" t="s">
        <v>285</v>
      </c>
      <c r="D97" s="1" t="s">
        <v>351</v>
      </c>
      <c r="E97" s="1" t="s">
        <v>352</v>
      </c>
      <c r="F97" s="1" t="s">
        <v>353</v>
      </c>
      <c r="G97" s="2">
        <v>0</v>
      </c>
      <c r="H97" s="1" t="s">
        <v>24</v>
      </c>
      <c r="K97" s="2">
        <v>0</v>
      </c>
      <c r="L97" s="2">
        <v>0</v>
      </c>
      <c r="M97" s="1" t="s">
        <v>25</v>
      </c>
      <c r="N97" s="2">
        <v>0</v>
      </c>
      <c r="O97" s="2">
        <v>2601.91648644123</v>
      </c>
      <c r="P97" s="2">
        <v>101.437472809257</v>
      </c>
      <c r="Q97" s="2">
        <f t="shared" si="1"/>
        <v>-2703.35395925049</v>
      </c>
      <c r="R97" s="1" t="s">
        <v>157</v>
      </c>
    </row>
    <row r="98" spans="1:18">
      <c r="A98" s="1" t="s">
        <v>26</v>
      </c>
      <c r="B98" s="1" t="s">
        <v>284</v>
      </c>
      <c r="C98" s="1" t="s">
        <v>285</v>
      </c>
      <c r="D98" s="1" t="s">
        <v>354</v>
      </c>
      <c r="E98" s="1" t="s">
        <v>355</v>
      </c>
      <c r="F98" s="1" t="s">
        <v>224</v>
      </c>
      <c r="G98" s="2">
        <v>0</v>
      </c>
      <c r="H98" s="1" t="s">
        <v>24</v>
      </c>
      <c r="K98" s="2">
        <v>0</v>
      </c>
      <c r="L98" s="2">
        <v>0</v>
      </c>
      <c r="M98" s="1" t="s">
        <v>25</v>
      </c>
      <c r="N98" s="2">
        <v>0</v>
      </c>
      <c r="O98" s="2">
        <v>867.305495480408</v>
      </c>
      <c r="P98" s="2">
        <v>33.8124909364191</v>
      </c>
      <c r="Q98" s="2">
        <f t="shared" si="1"/>
        <v>-901.117986416827</v>
      </c>
      <c r="R98" s="1" t="s">
        <v>126</v>
      </c>
    </row>
    <row r="99" spans="1:18">
      <c r="A99" s="1" t="s">
        <v>26</v>
      </c>
      <c r="B99" s="1" t="s">
        <v>284</v>
      </c>
      <c r="C99" s="1" t="s">
        <v>356</v>
      </c>
      <c r="D99" s="1" t="s">
        <v>357</v>
      </c>
      <c r="E99" s="1" t="s">
        <v>358</v>
      </c>
      <c r="F99" s="1" t="s">
        <v>199</v>
      </c>
      <c r="G99" s="2">
        <v>0</v>
      </c>
      <c r="H99" s="1" t="s">
        <v>24</v>
      </c>
      <c r="K99" s="2">
        <v>0</v>
      </c>
      <c r="L99" s="2">
        <v>0</v>
      </c>
      <c r="M99" s="1" t="s">
        <v>25</v>
      </c>
      <c r="N99" s="2">
        <v>0</v>
      </c>
      <c r="O99" s="2">
        <v>433.652747740204</v>
      </c>
      <c r="P99" s="2">
        <v>16.9062454682096</v>
      </c>
      <c r="Q99" s="2">
        <f t="shared" si="1"/>
        <v>-450.558993208414</v>
      </c>
      <c r="R99" s="1" t="s">
        <v>154</v>
      </c>
    </row>
    <row r="100" spans="1:18">
      <c r="A100" s="1" t="s">
        <v>26</v>
      </c>
      <c r="B100" s="1" t="s">
        <v>284</v>
      </c>
      <c r="C100" s="1" t="s">
        <v>356</v>
      </c>
      <c r="D100" s="1" t="s">
        <v>359</v>
      </c>
      <c r="E100" s="1" t="s">
        <v>360</v>
      </c>
      <c r="F100" s="1" t="s">
        <v>224</v>
      </c>
      <c r="G100" s="2">
        <v>0</v>
      </c>
      <c r="H100" s="1" t="s">
        <v>24</v>
      </c>
      <c r="K100" s="2">
        <v>0</v>
      </c>
      <c r="L100" s="2">
        <v>0</v>
      </c>
      <c r="M100" s="1" t="s">
        <v>25</v>
      </c>
      <c r="N100" s="2">
        <v>0</v>
      </c>
      <c r="O100" s="2">
        <v>867.305495480408</v>
      </c>
      <c r="P100" s="2">
        <v>422.812490936419</v>
      </c>
      <c r="Q100" s="2">
        <f t="shared" si="1"/>
        <v>-1290.11798641683</v>
      </c>
      <c r="R100" s="1" t="s">
        <v>361</v>
      </c>
    </row>
    <row r="101" spans="1:18">
      <c r="A101" s="1" t="s">
        <v>26</v>
      </c>
      <c r="B101" s="1" t="s">
        <v>284</v>
      </c>
      <c r="C101" s="1" t="s">
        <v>356</v>
      </c>
      <c r="D101" s="1" t="s">
        <v>362</v>
      </c>
      <c r="E101" s="1" t="s">
        <v>363</v>
      </c>
      <c r="F101" s="1" t="s">
        <v>364</v>
      </c>
      <c r="G101" s="2">
        <v>0</v>
      </c>
      <c r="H101" s="1" t="s">
        <v>24</v>
      </c>
      <c r="K101" s="2">
        <v>0</v>
      </c>
      <c r="L101" s="2">
        <v>0</v>
      </c>
      <c r="M101" s="1" t="s">
        <v>25</v>
      </c>
      <c r="N101" s="2">
        <v>0</v>
      </c>
      <c r="O101" s="2">
        <v>433.652747740204</v>
      </c>
      <c r="P101" s="2">
        <v>16.9062454682096</v>
      </c>
      <c r="Q101" s="2">
        <f t="shared" si="1"/>
        <v>-450.558993208414</v>
      </c>
      <c r="R101" s="1" t="s">
        <v>365</v>
      </c>
    </row>
    <row r="102" spans="1:18">
      <c r="A102" s="1" t="s">
        <v>26</v>
      </c>
      <c r="B102" s="1" t="s">
        <v>284</v>
      </c>
      <c r="C102" s="1" t="s">
        <v>356</v>
      </c>
      <c r="D102" s="1" t="s">
        <v>366</v>
      </c>
      <c r="E102" s="1" t="s">
        <v>367</v>
      </c>
      <c r="F102" s="1" t="s">
        <v>368</v>
      </c>
      <c r="G102" s="2">
        <v>0</v>
      </c>
      <c r="H102" s="1" t="s">
        <v>24</v>
      </c>
      <c r="K102" s="2">
        <v>0</v>
      </c>
      <c r="L102" s="2">
        <v>0</v>
      </c>
      <c r="M102" s="1" t="s">
        <v>25</v>
      </c>
      <c r="N102" s="2">
        <v>0</v>
      </c>
      <c r="O102" s="2">
        <v>433.652747740204</v>
      </c>
      <c r="P102" s="2">
        <v>16.9062454682096</v>
      </c>
      <c r="Q102" s="2">
        <f t="shared" si="1"/>
        <v>-450.558993208414</v>
      </c>
      <c r="R102" s="1" t="s">
        <v>369</v>
      </c>
    </row>
    <row r="103" spans="1:18">
      <c r="A103" s="1" t="s">
        <v>26</v>
      </c>
      <c r="B103" s="1" t="s">
        <v>284</v>
      </c>
      <c r="C103" s="1" t="s">
        <v>356</v>
      </c>
      <c r="D103" s="1" t="s">
        <v>370</v>
      </c>
      <c r="E103" s="1" t="s">
        <v>371</v>
      </c>
      <c r="F103" s="1" t="s">
        <v>199</v>
      </c>
      <c r="G103" s="2">
        <v>0</v>
      </c>
      <c r="H103" s="1" t="s">
        <v>24</v>
      </c>
      <c r="K103" s="2">
        <v>0</v>
      </c>
      <c r="L103" s="2">
        <v>0</v>
      </c>
      <c r="M103" s="1" t="s">
        <v>25</v>
      </c>
      <c r="N103" s="2">
        <v>598.404581593658</v>
      </c>
      <c r="O103" s="2">
        <v>0</v>
      </c>
      <c r="P103" s="2">
        <v>0</v>
      </c>
      <c r="Q103" s="2">
        <f t="shared" si="1"/>
        <v>-598.404581593658</v>
      </c>
      <c r="R103" s="1" t="s">
        <v>172</v>
      </c>
    </row>
    <row r="104" spans="1:18">
      <c r="A104" s="1" t="s">
        <v>26</v>
      </c>
      <c r="B104" s="1" t="s">
        <v>284</v>
      </c>
      <c r="C104" s="1" t="s">
        <v>356</v>
      </c>
      <c r="D104" s="1" t="s">
        <v>372</v>
      </c>
      <c r="E104" s="1" t="s">
        <v>373</v>
      </c>
      <c r="F104" s="1" t="s">
        <v>147</v>
      </c>
      <c r="G104" s="2">
        <v>0</v>
      </c>
      <c r="H104" s="1" t="s">
        <v>24</v>
      </c>
      <c r="K104" s="2">
        <v>0</v>
      </c>
      <c r="L104" s="2">
        <v>0</v>
      </c>
      <c r="M104" s="1" t="s">
        <v>25</v>
      </c>
      <c r="N104" s="2">
        <v>0</v>
      </c>
      <c r="O104" s="2">
        <v>6071.13846836286</v>
      </c>
      <c r="P104" s="2">
        <v>1576.68743655493</v>
      </c>
      <c r="Q104" s="2">
        <f t="shared" si="1"/>
        <v>-7647.82590491779</v>
      </c>
      <c r="R104" s="1" t="s">
        <v>374</v>
      </c>
    </row>
    <row r="105" spans="1:18">
      <c r="A105" s="1" t="s">
        <v>18</v>
      </c>
      <c r="B105" s="1" t="s">
        <v>284</v>
      </c>
      <c r="C105" s="1" t="s">
        <v>356</v>
      </c>
      <c r="D105" s="1" t="s">
        <v>375</v>
      </c>
      <c r="E105" s="1" t="s">
        <v>376</v>
      </c>
      <c r="F105" s="1" t="s">
        <v>225</v>
      </c>
      <c r="G105" s="2">
        <v>0</v>
      </c>
      <c r="H105" s="1" t="s">
        <v>24</v>
      </c>
      <c r="K105" s="2">
        <v>0</v>
      </c>
      <c r="L105" s="2">
        <v>0</v>
      </c>
      <c r="M105" s="1" t="s">
        <v>25</v>
      </c>
      <c r="N105" s="2">
        <v>44.7905203587778</v>
      </c>
      <c r="O105" s="2">
        <v>6071.13846836286</v>
      </c>
      <c r="P105" s="2">
        <v>236.687436554934</v>
      </c>
      <c r="Q105" s="2">
        <f t="shared" si="1"/>
        <v>-6352.61642527657</v>
      </c>
      <c r="R105" s="1" t="s">
        <v>377</v>
      </c>
    </row>
  </sheetData>
  <autoFilter xmlns:etc="http://www.wps.cn/officeDocument/2017/etCustomData" ref="A1:S105" etc:filterBottomFollowUsedRange="0">
    <sortState ref="A1:S105">
      <sortCondition ref="B1:B105"/>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刘真真</cp:lastModifiedBy>
  <dcterms:created xsi:type="dcterms:W3CDTF">2025-10-24T01:54:00Z</dcterms:created>
  <dcterms:modified xsi:type="dcterms:W3CDTF">2025-10-28T06:58:03Z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CF72CDC4B706442D83F8A2FE9CC187D0_13</vt:lpwstr>
  </property>
  <property fmtid="{D5CDD505-2E9C-101B-9397-08002B2CF9AE}" pid="3" name="KSOProductBuildVer">
    <vt:lpwstr>2052-12.1.0.22529</vt:lpwstr>
  </property>
</Properties>
</file>